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harika\Downloads\Scale100x Assignment\Financial Model\"/>
    </mc:Choice>
  </mc:AlternateContent>
  <xr:revisionPtr revIDLastSave="0" documentId="13_ncr:1_{DEC60AF8-077D-4295-8C0B-D20DA4CDB2FB}" xr6:coauthVersionLast="47" xr6:coauthVersionMax="47" xr10:uidLastSave="{00000000-0000-0000-0000-000000000000}"/>
  <bookViews>
    <workbookView xWindow="-108" yWindow="-108" windowWidth="23256" windowHeight="12456" firstSheet="1" activeTab="6" xr2:uid="{31C456A8-50B1-43D9-A220-898E50FCB8E2}"/>
  </bookViews>
  <sheets>
    <sheet name="Assumptions" sheetId="1" r:id="rId1"/>
    <sheet name="P&amp;L" sheetId="2" r:id="rId2"/>
    <sheet name="Payback" sheetId="3" r:id="rId3"/>
    <sheet name="Scale100x Projection" sheetId="4" r:id="rId4"/>
    <sheet name="Sensitivity" sheetId="5" r:id="rId5"/>
    <sheet name="Franchisee Input" sheetId="6" r:id="rId6"/>
    <sheet name="Automation Workflow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6" l="1"/>
  <c r="B17" i="7"/>
  <c r="B19" i="7" s="1"/>
  <c r="B20" i="7" s="1"/>
  <c r="B39" i="6"/>
  <c r="B38" i="6"/>
  <c r="C37" i="6"/>
  <c r="B37" i="6"/>
  <c r="C35" i="6"/>
  <c r="B35" i="6"/>
  <c r="C34" i="6"/>
  <c r="B34" i="6"/>
  <c r="C33" i="6"/>
  <c r="B33" i="6"/>
  <c r="C32" i="6"/>
  <c r="B32" i="6"/>
  <c r="C31" i="6"/>
  <c r="B31" i="6"/>
  <c r="B25" i="6"/>
  <c r="B24" i="6"/>
  <c r="B23" i="6"/>
  <c r="B19" i="6"/>
  <c r="B18" i="6"/>
  <c r="B17" i="6"/>
  <c r="B16" i="6"/>
  <c r="B15" i="6"/>
  <c r="B14" i="6"/>
  <c r="C14" i="5"/>
  <c r="D14" i="5"/>
  <c r="B14" i="5"/>
  <c r="B13" i="5"/>
  <c r="C13" i="5"/>
  <c r="D13" i="5"/>
  <c r="C12" i="5"/>
  <c r="D12" i="5"/>
  <c r="B12" i="5"/>
  <c r="B11" i="5"/>
  <c r="C11" i="5"/>
  <c r="D11" i="5"/>
  <c r="C10" i="5"/>
  <c r="D10" i="5"/>
  <c r="B10" i="5"/>
  <c r="C9" i="5"/>
  <c r="D9" i="5"/>
  <c r="B9" i="5"/>
  <c r="C8" i="5"/>
  <c r="D8" i="5"/>
  <c r="B8" i="5"/>
  <c r="C7" i="5"/>
  <c r="D7" i="5"/>
  <c r="B7" i="5"/>
  <c r="D6" i="5"/>
  <c r="C6" i="5"/>
  <c r="B6" i="5"/>
  <c r="D5" i="5"/>
  <c r="C5" i="5"/>
  <c r="B5" i="5"/>
  <c r="D12" i="4"/>
  <c r="C12" i="4"/>
  <c r="B12" i="4"/>
  <c r="D11" i="4"/>
  <c r="C11" i="4"/>
  <c r="B11" i="4"/>
  <c r="B7" i="4"/>
  <c r="B6" i="4"/>
  <c r="D9" i="3"/>
  <c r="D10" i="3"/>
  <c r="D11" i="3"/>
  <c r="D12" i="3"/>
  <c r="D13" i="3"/>
  <c r="D14" i="3"/>
  <c r="D15" i="3"/>
  <c r="D16" i="3"/>
  <c r="D17" i="3"/>
  <c r="D18" i="3"/>
  <c r="D19" i="3"/>
  <c r="D8" i="3"/>
  <c r="C10" i="3"/>
  <c r="C11" i="3"/>
  <c r="C12" i="3"/>
  <c r="C13" i="3" s="1"/>
  <c r="C14" i="3" s="1"/>
  <c r="C15" i="3" s="1"/>
  <c r="C16" i="3" s="1"/>
  <c r="C17" i="3" s="1"/>
  <c r="C18" i="3" s="1"/>
  <c r="C19" i="3" s="1"/>
  <c r="C9" i="3"/>
  <c r="C8" i="3"/>
  <c r="B19" i="3"/>
  <c r="B18" i="3"/>
  <c r="B17" i="3"/>
  <c r="B16" i="3"/>
  <c r="B15" i="3"/>
  <c r="B14" i="3"/>
  <c r="B13" i="3"/>
  <c r="B12" i="3"/>
  <c r="B11" i="3"/>
  <c r="B10" i="3"/>
  <c r="B9" i="3"/>
  <c r="B8" i="3"/>
  <c r="B4" i="3"/>
  <c r="D5" i="2"/>
  <c r="C5" i="2"/>
  <c r="B5" i="2"/>
  <c r="N10" i="2"/>
  <c r="N11" i="2"/>
  <c r="N13" i="2"/>
  <c r="N14" i="2"/>
  <c r="C14" i="2"/>
  <c r="D14" i="2"/>
  <c r="E14" i="2"/>
  <c r="F14" i="2"/>
  <c r="G14" i="2"/>
  <c r="H14" i="2"/>
  <c r="I14" i="2"/>
  <c r="J14" i="2"/>
  <c r="K14" i="2"/>
  <c r="L14" i="2"/>
  <c r="M14" i="2"/>
  <c r="B14" i="2"/>
  <c r="C13" i="2"/>
  <c r="D13" i="2"/>
  <c r="E13" i="2"/>
  <c r="F13" i="2"/>
  <c r="G13" i="2"/>
  <c r="H13" i="2"/>
  <c r="I13" i="2"/>
  <c r="J13" i="2"/>
  <c r="K13" i="2"/>
  <c r="L13" i="2"/>
  <c r="M13" i="2"/>
  <c r="B13" i="2"/>
  <c r="C11" i="2"/>
  <c r="D11" i="2"/>
  <c r="E11" i="2"/>
  <c r="F11" i="2"/>
  <c r="G11" i="2"/>
  <c r="H11" i="2"/>
  <c r="I11" i="2"/>
  <c r="J11" i="2"/>
  <c r="K11" i="2"/>
  <c r="L11" i="2"/>
  <c r="M11" i="2"/>
  <c r="B11" i="2"/>
  <c r="C10" i="2"/>
  <c r="D10" i="2"/>
  <c r="E10" i="2"/>
  <c r="F10" i="2"/>
  <c r="G10" i="2"/>
  <c r="H10" i="2"/>
  <c r="I10" i="2"/>
  <c r="J10" i="2"/>
  <c r="K10" i="2"/>
  <c r="L10" i="2"/>
  <c r="M10" i="2"/>
  <c r="B10" i="2"/>
  <c r="E5" i="2" l="1"/>
  <c r="D15" i="2"/>
  <c r="D12" i="2"/>
  <c r="D17" i="2" s="1"/>
  <c r="D6" i="2"/>
  <c r="D7" i="2" s="1"/>
  <c r="D19" i="2" s="1"/>
  <c r="C15" i="2"/>
  <c r="C12" i="2"/>
  <c r="C17" i="2" s="1"/>
  <c r="C6" i="2"/>
  <c r="C7" i="2" s="1"/>
  <c r="C19" i="2" s="1"/>
  <c r="B12" i="2"/>
  <c r="B15" i="2"/>
  <c r="B6" i="2"/>
  <c r="E15" i="2" l="1"/>
  <c r="F5" i="2"/>
  <c r="E6" i="2"/>
  <c r="E12" i="2"/>
  <c r="B17" i="2"/>
  <c r="B7" i="2"/>
  <c r="F6" i="2" l="1"/>
  <c r="F12" i="2"/>
  <c r="G5" i="2"/>
  <c r="F15" i="2"/>
  <c r="E17" i="2"/>
  <c r="E7" i="2"/>
  <c r="E19" i="2" s="1"/>
  <c r="B19" i="2"/>
  <c r="F17" i="2" l="1"/>
  <c r="G15" i="2"/>
  <c r="H5" i="2"/>
  <c r="G6" i="2"/>
  <c r="G7" i="2"/>
  <c r="G12" i="2"/>
  <c r="G17" i="2" s="1"/>
  <c r="F7" i="2"/>
  <c r="H6" i="2" l="1"/>
  <c r="H7" i="2"/>
  <c r="H12" i="2"/>
  <c r="I5" i="2"/>
  <c r="H15" i="2"/>
  <c r="F19" i="2"/>
  <c r="G19" i="2"/>
  <c r="H17" i="2" l="1"/>
  <c r="I6" i="2"/>
  <c r="I7" i="2" s="1"/>
  <c r="J5" i="2"/>
  <c r="I12" i="2"/>
  <c r="I15" i="2"/>
  <c r="H19" i="2" l="1"/>
  <c r="J7" i="2"/>
  <c r="J12" i="2"/>
  <c r="J6" i="2"/>
  <c r="K5" i="2"/>
  <c r="J15" i="2"/>
  <c r="I17" i="2"/>
  <c r="I19" i="2" s="1"/>
  <c r="J17" i="2" l="1"/>
  <c r="K6" i="2"/>
  <c r="K7" i="2"/>
  <c r="K12" i="2"/>
  <c r="L5" i="2"/>
  <c r="K15" i="2"/>
  <c r="J19" i="2" l="1"/>
  <c r="L15" i="2"/>
  <c r="M5" i="2"/>
  <c r="N5" i="2" s="1"/>
  <c r="L6" i="2"/>
  <c r="L7" i="2"/>
  <c r="L12" i="2"/>
  <c r="K17" i="2"/>
  <c r="M7" i="2" l="1"/>
  <c r="M12" i="2"/>
  <c r="M6" i="2"/>
  <c r="N6" i="2" s="1"/>
  <c r="M15" i="2"/>
  <c r="N15" i="2" s="1"/>
  <c r="L17" i="2"/>
  <c r="L19" i="2" s="1"/>
  <c r="K19" i="2"/>
  <c r="N7" i="2" l="1"/>
  <c r="M19" i="2"/>
  <c r="N19" i="2" s="1"/>
  <c r="M17" i="2"/>
  <c r="N17" i="2" s="1"/>
  <c r="N12" i="2"/>
</calcChain>
</file>

<file path=xl/sharedStrings.xml><?xml version="1.0" encoding="utf-8"?>
<sst xmlns="http://schemas.openxmlformats.org/spreadsheetml/2006/main" count="251" uniqueCount="210">
  <si>
    <t>FreshBrew Franchise Financial Model</t>
  </si>
  <si>
    <t>Base Case Assumptions</t>
  </si>
  <si>
    <t>Assumption</t>
  </si>
  <si>
    <t>Value</t>
  </si>
  <si>
    <t>Unit</t>
  </si>
  <si>
    <t>Notes</t>
  </si>
  <si>
    <t>Initial Investment</t>
  </si>
  <si>
    <t>₹</t>
  </si>
  <si>
    <t>Illustrative setup investment for one outlet</t>
  </si>
  <si>
    <t>Base Monthly Revenue</t>
  </si>
  <si>
    <t>₹ / month</t>
  </si>
  <si>
    <t>Base-case outlet revenue assumption</t>
  </si>
  <si>
    <t>Conservative Monthly Revenue</t>
  </si>
  <si>
    <t>Sensitivity case required by assignment</t>
  </si>
  <si>
    <t>Optimistic Monthly Revenue</t>
  </si>
  <si>
    <t>COGS %</t>
  </si>
  <si>
    <t>% of revenue</t>
  </si>
  <si>
    <t>Illustrative base assumption</t>
  </si>
  <si>
    <t>Monthly Rent</t>
  </si>
  <si>
    <t>Fixed operating cost assumption</t>
  </si>
  <si>
    <t>Monthly Staff Cost</t>
  </si>
  <si>
    <t>Marketing %</t>
  </si>
  <si>
    <t>Variable marketing assumption</t>
  </si>
  <si>
    <t>Monthly Utilities</t>
  </si>
  <si>
    <t>Electricity, water, internet, etc.</t>
  </si>
  <si>
    <t>Other Monthly Costs</t>
  </si>
  <si>
    <t>Maintenance and miscellaneous operating costs</t>
  </si>
  <si>
    <t>Franchise Fee</t>
  </si>
  <si>
    <t>Illustrative franchise fee</t>
  </si>
  <si>
    <t>Royalty %</t>
  </si>
  <si>
    <t>Illustrative royalty assumption</t>
  </si>
  <si>
    <t>Scale100x Fee per Successful Deal</t>
  </si>
  <si>
    <t>₹ / deal</t>
  </si>
  <si>
    <t>Illustrative modelling assumption; not stated as actual company pricing</t>
  </si>
  <si>
    <t>Monthly Revenue Ramp-up</t>
  </si>
  <si>
    <t>Scale100x Deal Growth</t>
  </si>
  <si>
    <t>Annual growth</t>
  </si>
  <si>
    <t>Illustrative scenario assumption</t>
  </si>
  <si>
    <t>FreshBrew Year 1 Monthly P&amp;L</t>
  </si>
  <si>
    <t>Base Case</t>
  </si>
  <si>
    <t>Particulars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</si>
  <si>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</si>
  <si>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</si>
  <si>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</si>
  <si>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</si>
  <si>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</si>
  <si>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</si>
  <si>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</si>
  <si>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</si>
  <si>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</si>
  <si>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</si>
  <si>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</si>
  <si>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</si>
  <si>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</si>
  <si>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COGS</t>
  </si>
  <si>
    <t>Gross Profit</t>
  </si>
  <si>
    <t>Operating Expenses</t>
  </si>
  <si>
    <t>Rent</t>
  </si>
  <si>
    <t>Staff Cost</t>
  </si>
  <si>
    <t>Marketing</t>
  </si>
  <si>
    <t>Utilities</t>
  </si>
  <si>
    <t>Other Costs</t>
  </si>
  <si>
    <t>Royalty</t>
  </si>
  <si>
    <t>Total Operating Expenses</t>
  </si>
  <si>
    <t>Operating Profit</t>
  </si>
  <si>
    <t>year 1</t>
  </si>
  <si>
    <t>Monthly increase during initial revenue ramp-up</t>
  </si>
  <si>
    <t>%</t>
  </si>
  <si>
    <t>Initial Month Revenue</t>
  </si>
  <si>
    <t>Illustrative starting revenue for a new outlet</t>
  </si>
  <si>
    <t>FreshBrew Franchise Payback Analysis</t>
  </si>
  <si>
    <t>Metric</t>
  </si>
  <si>
    <t>Month</t>
  </si>
  <si>
    <t>Cumulative Profit</t>
  </si>
  <si>
    <t>Investment Remaining</t>
  </si>
  <si>
    <t>Scale100x 3-Year Revenue Projection</t>
  </si>
  <si>
    <t>Illustrative Base Case</t>
  </si>
  <si>
    <t>Year 1 Successful Franchise Deals</t>
  </si>
  <si>
    <t>Deals</t>
  </si>
  <si>
    <t>Illustrative Assumption</t>
  </si>
  <si>
    <t>Linked to Assumptions</t>
  </si>
  <si>
    <t>Annual Deal Growth</t>
  </si>
  <si>
    <t>Illustrative assumption</t>
  </si>
  <si>
    <t>Year 1</t>
  </si>
  <si>
    <t>Year 2</t>
  </si>
  <si>
    <t>Year 3</t>
  </si>
  <si>
    <t>Successful Franchise Deals</t>
  </si>
  <si>
    <t>Scale100x Revenue</t>
  </si>
  <si>
    <t>FreshBrew Revenue Sensitivity Analysis</t>
  </si>
  <si>
    <t>Monthly Revenue Scenarios</t>
  </si>
  <si>
    <t>₹6L Case</t>
  </si>
  <si>
    <t>₹8L Case</t>
  </si>
  <si>
    <t>₹10L Case</t>
  </si>
  <si>
    <t>Monthly Revenue</t>
  </si>
  <si>
    <t>Annual Revenue</t>
  </si>
  <si>
    <t>Annual COGS</t>
  </si>
  <si>
    <t>Annual Gross Profit</t>
  </si>
  <si>
    <t>Annual Marketing</t>
  </si>
  <si>
    <t>Annual Royalty</t>
  </si>
  <si>
    <t>Annual Fixed Costs</t>
  </si>
  <si>
    <t>Annual Operating Profit</t>
  </si>
  <si>
    <t>Simple Payback (Years)</t>
  </si>
  <si>
    <t>Franchisee Qualification &amp; ROI Tool</t>
  </si>
  <si>
    <t>Illustrative Franchisee Assessment</t>
  </si>
  <si>
    <t>Franchisee Information</t>
  </si>
  <si>
    <t>Available Investment</t>
  </si>
  <si>
    <t>Expected Monthly Revenue</t>
  </si>
  <si>
    <t>Location</t>
  </si>
  <si>
    <t>F&amp;B Experience</t>
  </si>
  <si>
    <t>Number of Existing Outlets</t>
  </si>
  <si>
    <t>Funding Required</t>
  </si>
  <si>
    <t>Mumbai</t>
  </si>
  <si>
    <t>Financial Assessment</t>
  </si>
  <si>
    <t>Required Investment</t>
  </si>
  <si>
    <t>Investment Gap</t>
  </si>
  <si>
    <t>Expected Annual Revenue</t>
  </si>
  <si>
    <t>Expected Annual Operating Profit</t>
  </si>
  <si>
    <t>Simple Payback</t>
  </si>
  <si>
    <t>Financial Status</t>
  </si>
  <si>
    <t>Qualification Checks</t>
  </si>
  <si>
    <t>Investment Check</t>
  </si>
  <si>
    <t>Revenue Check</t>
  </si>
  <si>
    <t>Experience Check</t>
  </si>
  <si>
    <t>Overall Qualification</t>
  </si>
  <si>
    <t>Lead Scoring</t>
  </si>
  <si>
    <t>Factor</t>
  </si>
  <si>
    <t>Score</t>
  </si>
  <si>
    <t>Max Score</t>
  </si>
  <si>
    <t>Reason</t>
  </si>
  <si>
    <t>Investment Capacity</t>
  </si>
  <si>
    <t>Available investment vs required investment</t>
  </si>
  <si>
    <t>Revenue Potential</t>
  </si>
  <si>
    <t>Expected monthly revenue vs scenario benchmarks</t>
  </si>
  <si>
    <t>Relevant operating experience</t>
  </si>
  <si>
    <t>Existing Outlet Experience</t>
  </si>
  <si>
    <t>Existing operating footprint</t>
  </si>
  <si>
    <t>Funding Requirement</t>
  </si>
  <si>
    <t>Additional funding dependency</t>
  </si>
  <si>
    <t>Total Lead Score</t>
  </si>
  <si>
    <t>Lead Priority</t>
  </si>
  <si>
    <t>Recommended Action</t>
  </si>
  <si>
    <t>Scale100x Franchise Lead Automation</t>
  </si>
  <si>
    <t>AI-enabled Lead Qualification &amp; ROI Workflow</t>
  </si>
  <si>
    <t>Step</t>
  </si>
  <si>
    <t>Trigger / Input</t>
  </si>
  <si>
    <t>Automation</t>
  </si>
  <si>
    <t>Tool</t>
  </si>
  <si>
    <t>Output</t>
  </si>
  <si>
    <t>Scoring Logic</t>
  </si>
  <si>
    <t>High / Medium / Low</t>
  </si>
  <si>
    <t>Qualified lead</t>
  </si>
  <si>
    <t>Human Checkpoint</t>
  </si>
  <si>
    <t>Risk</t>
  </si>
  <si>
    <t>Time Saved</t>
  </si>
  <si>
    <t>User clicks Meta Ad</t>
  </si>
  <si>
    <t>Capture lead and start WhatsApp conversation</t>
  </si>
  <si>
    <t>Meta Ads + WhatsApp</t>
  </si>
  <si>
    <t>New WhatsApp lead</t>
  </si>
  <si>
    <t>None</t>
  </si>
  <si>
    <t>~2 min/lead</t>
  </si>
  <si>
    <t>Ad platform or tracking failure</t>
  </si>
  <si>
    <t>New WhatsApp conversation</t>
  </si>
  <si>
    <t>AI greets lead and asks qualification questions</t>
  </si>
  <si>
    <t>WhatsApp + AI Agent</t>
  </si>
  <si>
    <t>Structured lead information</t>
  </si>
  <si>
    <t>Human takeover if AI cannot understand response</t>
  </si>
  <si>
    <t>~5 min/lead</t>
  </si>
  <si>
    <t>AI misunderstanding user response</t>
  </si>
  <si>
    <t>Lead answers qualification questions</t>
  </si>
  <si>
    <t>Extract budget, location, experience and intent</t>
  </si>
  <si>
    <t>AI</t>
  </si>
  <si>
    <t>Qualified lead profile</t>
  </si>
  <si>
    <t>Review unusual or incomplete responses</t>
  </si>
  <si>
    <t>~3 min/lead</t>
  </si>
  <si>
    <t>Incorrect AI classification</t>
  </si>
  <si>
    <t>Create or update lead record</t>
  </si>
  <si>
    <t>CRM</t>
  </si>
  <si>
    <t>Centralised lead profile</t>
  </si>
  <si>
    <t>Sales team can correct lead data</t>
  </si>
  <si>
    <t>Duplicate or incomplete CRM record</t>
  </si>
  <si>
    <t>Lead profile</t>
  </si>
  <si>
    <t>Calculate lead score and priority</t>
  </si>
  <si>
    <t>Human review for borderline leads</t>
  </si>
  <si>
    <t>Poor scoring thresholds</t>
  </si>
  <si>
    <t>High-intent / high-score lead</t>
  </si>
  <si>
    <t>Create consultant task and notify</t>
  </si>
  <si>
    <t>CRM + Email / Slack</t>
  </si>
  <si>
    <t>Consultant follow-up task</t>
  </si>
  <si>
    <t>Consultant takes over</t>
  </si>
  <si>
    <t>Lead notification failure</t>
  </si>
  <si>
    <t>Consultant receives qualified lead</t>
  </si>
  <si>
    <t>Human handles call and closes opportunity</t>
  </si>
  <si>
    <t>Consultant / CRM</t>
  </si>
  <si>
    <t>Deal / Next Action</t>
  </si>
  <si>
    <t>Required</t>
  </si>
  <si>
    <t>Not automated</t>
  </si>
  <si>
    <t>Lead may still not convert</t>
  </si>
  <si>
    <t>Time Saving Estimate</t>
  </si>
  <si>
    <t>Manual processing time per lead</t>
  </si>
  <si>
    <t>Automated processing time per lead</t>
  </si>
  <si>
    <t>Time saved per lead</t>
  </si>
  <si>
    <t>Illustrative leads per month</t>
  </si>
  <si>
    <t>Monthly time saved</t>
  </si>
  <si>
    <t>Monthly hours saved</t>
  </si>
  <si>
    <t>Key Risk</t>
  </si>
  <si>
    <t>AI may incorrectly classify an ambiguous or incomplete franchise lead.</t>
  </si>
  <si>
    <t>Mitigation</t>
  </si>
  <si>
    <t>High-value or ambiguous leads should be routed to a human consultant for review before being treated as fully qualified.</t>
  </si>
  <si>
    <t>Franchise / Scale100x Assumptions</t>
  </si>
  <si>
    <t>Revenue Ram-up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</si>
</sst>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8" formatCode="&quot;₹&quot;\ 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0563C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563C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  <border>
      <left/>
      <right/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79998168889431442"/>
      </left>
      <right/>
      <top style="thin">
        <color theme="4" tint="0.79998168889431442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6" tint="0.39997558519241921"/>
      </left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/>
      <right/>
      <top/>
      <bottom style="thin">
        <color theme="6" tint="-0.249977111117893"/>
      </bottom>
      <diagonal/>
    </border>
    <border>
      <left/>
      <right/>
      <top style="thin">
        <color theme="6" tint="-0.249977111117893"/>
      </top>
      <bottom/>
      <diagonal/>
    </border>
    <border>
      <left/>
      <right style="thin">
        <color theme="2"/>
      </right>
      <top style="thin">
        <color theme="6" tint="-0.249977111117893"/>
      </top>
      <bottom/>
      <diagonal/>
    </border>
    <border>
      <left style="thin">
        <color theme="2"/>
      </left>
      <right style="thin">
        <color theme="2"/>
      </right>
      <top style="thin">
        <color theme="6" tint="-0.249977111117893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9" fontId="0" fillId="0" borderId="0" xfId="0" applyNumberFormat="1"/>
    <xf numFmtId="2" fontId="0" fillId="0" borderId="0" xfId="0" applyNumberFormat="1"/>
    <xf numFmtId="0" fontId="3" fillId="0" borderId="0" xfId="0" applyFont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3" xfId="0" applyBorder="1"/>
    <xf numFmtId="0" fontId="2" fillId="2" borderId="5" xfId="0" applyFont="1" applyFill="1" applyBorder="1" applyAlignment="1">
      <alignment horizontal="center" vertical="center"/>
    </xf>
    <xf numFmtId="0" fontId="0" fillId="0" borderId="0" xfId="0" applyBorder="1"/>
    <xf numFmtId="0" fontId="0" fillId="0" borderId="4" xfId="0" applyBorder="1"/>
    <xf numFmtId="0" fontId="2" fillId="2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10" fillId="0" borderId="0" xfId="0" applyFont="1"/>
    <xf numFmtId="0" fontId="10" fillId="0" borderId="5" xfId="0" applyFont="1" applyBorder="1"/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78" fontId="0" fillId="0" borderId="0" xfId="0" applyNumberFormat="1"/>
    <xf numFmtId="0" fontId="10" fillId="4" borderId="0" xfId="0" applyFont="1" applyFill="1"/>
    <xf numFmtId="178" fontId="0" fillId="4" borderId="0" xfId="0" applyNumberFormat="1" applyFill="1"/>
    <xf numFmtId="0" fontId="10" fillId="4" borderId="12" xfId="0" applyFont="1" applyFill="1" applyBorder="1"/>
    <xf numFmtId="178" fontId="0" fillId="4" borderId="12" xfId="0" applyNumberFormat="1" applyFill="1" applyBorder="1"/>
    <xf numFmtId="178" fontId="0" fillId="6" borderId="14" xfId="0" applyNumberFormat="1" applyFill="1" applyBorder="1"/>
    <xf numFmtId="178" fontId="0" fillId="0" borderId="15" xfId="0" applyNumberFormat="1" applyBorder="1"/>
    <xf numFmtId="178" fontId="0" fillId="6" borderId="16" xfId="0" applyNumberFormat="1" applyFill="1" applyBorder="1"/>
    <xf numFmtId="178" fontId="0" fillId="6" borderId="17" xfId="0" applyNumberFormat="1" applyFill="1" applyBorder="1"/>
    <xf numFmtId="0" fontId="7" fillId="5" borderId="0" xfId="0" applyFont="1" applyFill="1" applyAlignment="1">
      <alignment horizontal="center"/>
    </xf>
    <xf numFmtId="0" fontId="0" fillId="4" borderId="14" xfId="0" applyFill="1" applyBorder="1"/>
    <xf numFmtId="0" fontId="7" fillId="5" borderId="14" xfId="0" applyFont="1" applyFill="1" applyBorder="1" applyAlignment="1">
      <alignment horizontal="center"/>
    </xf>
    <xf numFmtId="178" fontId="0" fillId="4" borderId="14" xfId="0" applyNumberFormat="1" applyFill="1" applyBorder="1"/>
    <xf numFmtId="0" fontId="7" fillId="2" borderId="0" xfId="0" applyFont="1" applyFill="1" applyAlignment="1">
      <alignment horizontal="center"/>
    </xf>
    <xf numFmtId="178" fontId="0" fillId="7" borderId="0" xfId="0" applyNumberFormat="1" applyFill="1"/>
    <xf numFmtId="0" fontId="0" fillId="0" borderId="18" xfId="0" applyBorder="1"/>
    <xf numFmtId="178" fontId="0" fillId="8" borderId="19" xfId="0" applyNumberFormat="1" applyFill="1" applyBorder="1"/>
    <xf numFmtId="178" fontId="0" fillId="7" borderId="19" xfId="0" applyNumberFormat="1" applyFill="1" applyBorder="1"/>
    <xf numFmtId="178" fontId="0" fillId="4" borderId="20" xfId="0" applyNumberFormat="1" applyFill="1" applyBorder="1"/>
    <xf numFmtId="178" fontId="0" fillId="7" borderId="20" xfId="0" applyNumberFormat="1" applyFill="1" applyBorder="1"/>
    <xf numFmtId="0" fontId="7" fillId="2" borderId="21" xfId="0" applyFont="1" applyFill="1" applyBorder="1" applyAlignment="1">
      <alignment horizontal="center"/>
    </xf>
    <xf numFmtId="0" fontId="10" fillId="7" borderId="0" xfId="0" applyFont="1" applyFill="1"/>
    <xf numFmtId="0" fontId="11" fillId="0" borderId="0" xfId="0" applyFont="1" applyAlignment="1">
      <alignment horizontal="right"/>
    </xf>
    <xf numFmtId="0" fontId="12" fillId="0" borderId="0" xfId="0" applyFont="1"/>
    <xf numFmtId="0" fontId="10" fillId="4" borderId="22" xfId="0" applyFont="1" applyFill="1" applyBorder="1"/>
    <xf numFmtId="178" fontId="0" fillId="4" borderId="22" xfId="0" applyNumberFormat="1" applyFill="1" applyBorder="1"/>
    <xf numFmtId="0" fontId="13" fillId="2" borderId="0" xfId="0" applyFont="1" applyFill="1" applyAlignment="1">
      <alignment horizontal="center"/>
    </xf>
    <xf numFmtId="0" fontId="0" fillId="0" borderId="25" xfId="0" applyBorder="1"/>
    <xf numFmtId="0" fontId="0" fillId="0" borderId="26" xfId="0" applyBorder="1"/>
    <xf numFmtId="0" fontId="10" fillId="4" borderId="23" xfId="0" applyFont="1" applyFill="1" applyBorder="1"/>
    <xf numFmtId="0" fontId="0" fillId="0" borderId="27" xfId="0" applyBorder="1"/>
    <xf numFmtId="0" fontId="0" fillId="0" borderId="13" xfId="0" applyBorder="1" applyAlignment="1">
      <alignment horizont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3" borderId="22" xfId="0" applyFont="1" applyFill="1" applyBorder="1" applyAlignment="1">
      <alignment horizontal="center"/>
    </xf>
    <xf numFmtId="0" fontId="2" fillId="9" borderId="21" xfId="0" applyFont="1" applyFill="1" applyBorder="1" applyAlignment="1">
      <alignment horizontal="center"/>
    </xf>
    <xf numFmtId="0" fontId="2" fillId="2" borderId="23" xfId="0" applyFont="1" applyFill="1" applyBorder="1"/>
    <xf numFmtId="0" fontId="2" fillId="2" borderId="24" xfId="0" applyFont="1" applyFill="1" applyBorder="1"/>
    <xf numFmtId="178" fontId="14" fillId="4" borderId="11" xfId="0" applyNumberFormat="1" applyFont="1" applyFill="1" applyBorder="1" applyAlignment="1">
      <alignment horizontal="right" vertical="center"/>
    </xf>
    <xf numFmtId="178" fontId="14" fillId="4" borderId="7" xfId="0" applyNumberFormat="1" applyFont="1" applyFill="1" applyBorder="1" applyAlignment="1">
      <alignment horizontal="right" vertical="center"/>
    </xf>
    <xf numFmtId="178" fontId="14" fillId="4" borderId="10" xfId="0" applyNumberFormat="1" applyFont="1" applyFill="1" applyBorder="1" applyAlignment="1">
      <alignment horizontal="right" vertical="center"/>
    </xf>
    <xf numFmtId="9" fontId="14" fillId="4" borderId="9" xfId="0" applyNumberFormat="1" applyFont="1" applyFill="1" applyBorder="1" applyAlignment="1">
      <alignment horizontal="right" vertical="center"/>
    </xf>
    <xf numFmtId="178" fontId="14" fillId="4" borderId="9" xfId="0" applyNumberFormat="1" applyFont="1" applyFill="1" applyBorder="1" applyAlignment="1">
      <alignment horizontal="right" vertical="center"/>
    </xf>
    <xf numFmtId="9" fontId="14" fillId="4" borderId="7" xfId="0" applyNumberFormat="1" applyFont="1" applyFill="1" applyBorder="1" applyAlignment="1">
      <alignment horizontal="right" vertical="center"/>
    </xf>
    <xf numFmtId="9" fontId="14" fillId="4" borderId="11" xfId="0" applyNumberFormat="1" applyFont="1" applyFill="1" applyBorder="1" applyAlignment="1">
      <alignment horizontal="right" vertical="center"/>
    </xf>
    <xf numFmtId="178" fontId="14" fillId="4" borderId="7" xfId="1" applyNumberFormat="1" applyFont="1" applyFill="1" applyBorder="1" applyAlignment="1">
      <alignment horizontal="right" vertical="center"/>
    </xf>
    <xf numFmtId="2" fontId="0" fillId="4" borderId="2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1F4E78"/>
      <color rgb="FF0563C1"/>
      <color rgb="FF5B9BD5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0212-C915-4BDE-8710-64235995E8E5}">
  <dimension ref="A1:E23"/>
  <sheetViews>
    <sheetView zoomScale="92" workbookViewId="0">
      <selection activeCell="D24" sqref="D24"/>
    </sheetView>
  </sheetViews>
  <sheetFormatPr defaultRowHeight="14.4" x14ac:dyDescent="0.3"/>
  <cols>
    <col min="1" max="1" width="30.33203125" customWidth="1"/>
    <col min="2" max="2" width="17.5546875" customWidth="1"/>
    <col min="3" max="3" width="14.21875" customWidth="1"/>
    <col min="4" max="4" width="61.77734375" customWidth="1"/>
  </cols>
  <sheetData>
    <row r="1" spans="1:5" ht="28.05" customHeight="1" x14ac:dyDescent="0.3">
      <c r="A1" s="5" t="s">
        <v>0</v>
      </c>
      <c r="B1" s="6"/>
      <c r="C1" s="6"/>
      <c r="D1" s="6"/>
    </row>
    <row r="2" spans="1:5" ht="22.05" customHeight="1" x14ac:dyDescent="0.3">
      <c r="A2" s="8" t="s">
        <v>1</v>
      </c>
      <c r="B2" s="8"/>
      <c r="C2" s="8"/>
      <c r="D2" s="8"/>
    </row>
    <row r="3" spans="1:5" x14ac:dyDescent="0.3">
      <c r="B3" s="11"/>
      <c r="C3" s="11"/>
      <c r="D3" s="13"/>
    </row>
    <row r="4" spans="1:5" ht="22.05" customHeight="1" x14ac:dyDescent="0.3">
      <c r="A4" s="9" t="s">
        <v>2</v>
      </c>
      <c r="B4" s="15" t="s">
        <v>3</v>
      </c>
      <c r="C4" s="12" t="s">
        <v>4</v>
      </c>
      <c r="D4" s="10" t="s">
        <v>5</v>
      </c>
    </row>
    <row r="5" spans="1:5" x14ac:dyDescent="0.3">
      <c r="A5" s="21" t="s">
        <v>6</v>
      </c>
      <c r="B5" s="65">
        <v>2000000</v>
      </c>
      <c r="C5" s="16" t="s">
        <v>7</v>
      </c>
      <c r="D5" s="18" t="s">
        <v>8</v>
      </c>
    </row>
    <row r="6" spans="1:5" x14ac:dyDescent="0.3">
      <c r="A6" s="21" t="s">
        <v>9</v>
      </c>
      <c r="B6" s="66">
        <v>800000</v>
      </c>
      <c r="C6" s="16" t="s">
        <v>10</v>
      </c>
      <c r="D6" s="18" t="s">
        <v>11</v>
      </c>
    </row>
    <row r="7" spans="1:5" x14ac:dyDescent="0.3">
      <c r="A7" s="22" t="s">
        <v>12</v>
      </c>
      <c r="B7" s="66">
        <v>600000</v>
      </c>
      <c r="C7" s="16" t="s">
        <v>10</v>
      </c>
      <c r="D7" s="18" t="s">
        <v>13</v>
      </c>
    </row>
    <row r="8" spans="1:5" x14ac:dyDescent="0.3">
      <c r="A8" s="21" t="s">
        <v>14</v>
      </c>
      <c r="B8" s="67">
        <v>1000000</v>
      </c>
      <c r="C8" s="16" t="s">
        <v>10</v>
      </c>
      <c r="D8" s="18" t="s">
        <v>13</v>
      </c>
      <c r="E8" s="11"/>
    </row>
    <row r="9" spans="1:5" x14ac:dyDescent="0.3">
      <c r="A9" s="21" t="s">
        <v>15</v>
      </c>
      <c r="B9" s="68">
        <v>0.3</v>
      </c>
      <c r="C9" s="17" t="s">
        <v>16</v>
      </c>
      <c r="D9" s="19" t="s">
        <v>17</v>
      </c>
    </row>
    <row r="10" spans="1:5" x14ac:dyDescent="0.3">
      <c r="A10" s="21" t="s">
        <v>18</v>
      </c>
      <c r="B10" s="66">
        <v>100000</v>
      </c>
      <c r="C10" s="16" t="s">
        <v>10</v>
      </c>
      <c r="D10" s="18" t="s">
        <v>19</v>
      </c>
    </row>
    <row r="11" spans="1:5" x14ac:dyDescent="0.3">
      <c r="A11" s="22" t="s">
        <v>20</v>
      </c>
      <c r="B11" s="69">
        <v>180000</v>
      </c>
      <c r="C11" s="16" t="s">
        <v>10</v>
      </c>
      <c r="D11" s="18" t="s">
        <v>19</v>
      </c>
    </row>
    <row r="12" spans="1:5" x14ac:dyDescent="0.3">
      <c r="A12" s="21" t="s">
        <v>21</v>
      </c>
      <c r="B12" s="70">
        <v>0.06</v>
      </c>
      <c r="C12" s="16" t="s">
        <v>16</v>
      </c>
      <c r="D12" s="18" t="s">
        <v>22</v>
      </c>
    </row>
    <row r="13" spans="1:5" x14ac:dyDescent="0.3">
      <c r="A13" s="21" t="s">
        <v>23</v>
      </c>
      <c r="B13" s="69">
        <v>30000</v>
      </c>
      <c r="C13" s="16" t="s">
        <v>10</v>
      </c>
      <c r="D13" s="18" t="s">
        <v>24</v>
      </c>
    </row>
    <row r="14" spans="1:5" x14ac:dyDescent="0.3">
      <c r="A14" s="21" t="s">
        <v>25</v>
      </c>
      <c r="B14" s="66">
        <v>40000</v>
      </c>
      <c r="C14" s="16" t="s">
        <v>10</v>
      </c>
      <c r="D14" s="18" t="s">
        <v>26</v>
      </c>
    </row>
    <row r="15" spans="1:5" ht="18" customHeight="1" x14ac:dyDescent="0.3">
      <c r="A15" s="8" t="s">
        <v>208</v>
      </c>
      <c r="B15" s="20"/>
      <c r="C15" s="20"/>
      <c r="D15" s="20"/>
    </row>
    <row r="16" spans="1:5" x14ac:dyDescent="0.3">
      <c r="A16" s="21" t="s">
        <v>27</v>
      </c>
      <c r="B16" s="66">
        <v>500000</v>
      </c>
      <c r="C16" s="16" t="s">
        <v>7</v>
      </c>
      <c r="D16" s="18" t="s">
        <v>28</v>
      </c>
    </row>
    <row r="17" spans="1:4" x14ac:dyDescent="0.3">
      <c r="A17" s="21" t="s">
        <v>29</v>
      </c>
      <c r="B17" s="71">
        <v>0.05</v>
      </c>
      <c r="C17" s="16" t="s">
        <v>16</v>
      </c>
      <c r="D17" s="18" t="s">
        <v>30</v>
      </c>
    </row>
    <row r="18" spans="1:4" x14ac:dyDescent="0.3">
      <c r="A18" s="21" t="s">
        <v>31</v>
      </c>
      <c r="B18" s="72">
        <v>50000</v>
      </c>
      <c r="C18" s="16" t="s">
        <v>32</v>
      </c>
      <c r="D18" s="18" t="s">
        <v>33</v>
      </c>
    </row>
    <row r="19" spans="1:4" ht="18" customHeight="1" x14ac:dyDescent="0.3">
      <c r="A19" s="8" t="s">
        <v>209</v>
      </c>
      <c r="B19" s="8"/>
      <c r="C19" s="8"/>
      <c r="D19" s="8"/>
    </row>
    <row r="20" spans="1:4" x14ac:dyDescent="0.3">
      <c r="A20" s="21" t="s">
        <v>34</v>
      </c>
      <c r="B20" s="66">
        <v>50000</v>
      </c>
      <c r="C20" s="16" t="s">
        <v>10</v>
      </c>
      <c r="D20" s="18" t="s">
        <v>66</v>
      </c>
    </row>
    <row r="21" spans="1:4" x14ac:dyDescent="0.3">
      <c r="A21" s="21" t="s">
        <v>35</v>
      </c>
      <c r="B21" s="70">
        <v>1</v>
      </c>
      <c r="C21" s="16" t="s">
        <v>36</v>
      </c>
      <c r="D21" s="18" t="s">
        <v>37</v>
      </c>
    </row>
    <row r="22" spans="1:4" x14ac:dyDescent="0.3">
      <c r="A22" s="21" t="s">
        <v>68</v>
      </c>
      <c r="B22" s="67">
        <v>500000</v>
      </c>
      <c r="C22" s="16" t="s">
        <v>10</v>
      </c>
      <c r="D22" s="18" t="s">
        <v>69</v>
      </c>
    </row>
    <row r="23" spans="1:4" x14ac:dyDescent="0.3">
      <c r="B23" s="14"/>
    </row>
  </sheetData>
  <mergeCells count="4">
    <mergeCell ref="A1:D1"/>
    <mergeCell ref="A2:D2"/>
    <mergeCell ref="A15:D15"/>
    <mergeCell ref="A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AD62-AC5C-4E50-85B0-32F47B620172}">
  <dimension ref="A1:N19"/>
  <sheetViews>
    <sheetView workbookViewId="0">
      <selection activeCell="A15" sqref="A15"/>
    </sheetView>
  </sheetViews>
  <sheetFormatPr defaultRowHeight="14.4" x14ac:dyDescent="0.3"/>
  <cols>
    <col min="1" max="1" width="22.109375" customWidth="1"/>
    <col min="2" max="10" width="12.77734375" customWidth="1"/>
    <col min="11" max="11" width="12.88671875" customWidth="1"/>
    <col min="12" max="14" width="12.77734375" customWidth="1"/>
  </cols>
  <sheetData>
    <row r="1" spans="1:14" ht="28.05" customHeight="1" x14ac:dyDescent="0.3">
      <c r="A1" s="5" t="s">
        <v>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22.05" customHeight="1" x14ac:dyDescent="0.3">
      <c r="A2" s="24" t="s">
        <v>39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x14ac:dyDescent="0.3">
      <c r="A4" s="25" t="s">
        <v>40</v>
      </c>
      <c r="B4" s="25" t="s">
        <v>41</v>
      </c>
      <c r="C4" s="25" t="s">
        <v>42</v>
      </c>
      <c r="D4" s="25" t="s">
        <v>43</v>
      </c>
      <c r="E4" s="25" t="s">
        <v>44</v>
      </c>
      <c r="F4" s="25" t="s">
        <v>45</v>
      </c>
      <c r="G4" s="25" t="s">
        <v>46</v>
      </c>
      <c r="H4" s="25" t="s">
        <v>47</v>
      </c>
      <c r="I4" s="25" t="s">
        <v>48</v>
      </c>
      <c r="J4" s="25" t="s">
        <v>49</v>
      </c>
      <c r="K4" s="25" t="s">
        <v>50</v>
      </c>
      <c r="L4" s="25" t="s">
        <v>51</v>
      </c>
      <c r="M4" s="25" t="s">
        <v>52</v>
      </c>
      <c r="N4" s="25" t="s">
        <v>65</v>
      </c>
    </row>
    <row r="5" spans="1:14" x14ac:dyDescent="0.3">
      <c r="A5" s="21" t="s">
        <v>53</v>
      </c>
      <c r="B5" s="26">
        <f>MIN(Assumptions!$B$22,Assumptions!$B$6)</f>
        <v>500000</v>
      </c>
      <c r="C5" s="26">
        <f>MIN(B5+Assumptions!$B$20,Assumptions!$B$6)</f>
        <v>550000</v>
      </c>
      <c r="D5" s="26">
        <f>MIN(C5+Assumptions!$B$20,Assumptions!$B$6)</f>
        <v>600000</v>
      </c>
      <c r="E5" s="26">
        <f>MIN(D5+Assumptions!$B$20,Assumptions!$B$6)</f>
        <v>650000</v>
      </c>
      <c r="F5" s="26">
        <f>MIN(E5+Assumptions!$B$20,Assumptions!$B$6)</f>
        <v>700000</v>
      </c>
      <c r="G5" s="26">
        <f>MIN(F5+Assumptions!$B$20,Assumptions!$B$6)</f>
        <v>750000</v>
      </c>
      <c r="H5" s="26">
        <f>MIN(G5+Assumptions!$B$20,Assumptions!$B$6)</f>
        <v>800000</v>
      </c>
      <c r="I5" s="26">
        <f>MIN(H5+Assumptions!$B$20,Assumptions!$B$6)</f>
        <v>800000</v>
      </c>
      <c r="J5" s="26">
        <f>MIN(I5+Assumptions!$B$20,Assumptions!$B$6)</f>
        <v>800000</v>
      </c>
      <c r="K5" s="26">
        <f>MIN(J5+Assumptions!$B$20,Assumptions!$B$6)</f>
        <v>800000</v>
      </c>
      <c r="L5" s="26">
        <f>MIN(K5+Assumptions!$B$20,Assumptions!$B$6)</f>
        <v>800000</v>
      </c>
      <c r="M5" s="26">
        <f>MIN(L5+Assumptions!$B$20,Assumptions!$B$6)</f>
        <v>800000</v>
      </c>
      <c r="N5" s="33">
        <f>SUM(B5:M5)</f>
        <v>8550000</v>
      </c>
    </row>
    <row r="6" spans="1:14" x14ac:dyDescent="0.3">
      <c r="A6" s="21" t="s">
        <v>54</v>
      </c>
      <c r="B6" s="26">
        <f>B5*Assumptions!$B$9</f>
        <v>150000</v>
      </c>
      <c r="C6" s="26">
        <f>C5*Assumptions!$B$9</f>
        <v>165000</v>
      </c>
      <c r="D6" s="26">
        <f>D5*Assumptions!$B$9</f>
        <v>180000</v>
      </c>
      <c r="E6" s="26">
        <f>E5*Assumptions!$B$9</f>
        <v>195000</v>
      </c>
      <c r="F6" s="26">
        <f>F5*Assumptions!$B$9</f>
        <v>210000</v>
      </c>
      <c r="G6" s="26">
        <f>G5*Assumptions!$B$9</f>
        <v>225000</v>
      </c>
      <c r="H6" s="26">
        <f>H5*Assumptions!$B$9</f>
        <v>240000</v>
      </c>
      <c r="I6" s="26">
        <f>I5*Assumptions!$B$9</f>
        <v>240000</v>
      </c>
      <c r="J6" s="26">
        <f>J5*Assumptions!$B$9</f>
        <v>240000</v>
      </c>
      <c r="K6" s="26">
        <f>K5*Assumptions!$B$9</f>
        <v>240000</v>
      </c>
      <c r="L6" s="26">
        <f>L5*Assumptions!$B$9</f>
        <v>240000</v>
      </c>
      <c r="M6" s="32">
        <f>M5*Assumptions!$B$9</f>
        <v>240000</v>
      </c>
      <c r="N6" s="34">
        <f t="shared" ref="N6:N19" si="0">SUM(B6:M6)</f>
        <v>2565000</v>
      </c>
    </row>
    <row r="7" spans="1:14" x14ac:dyDescent="0.3">
      <c r="A7" s="27" t="s">
        <v>55</v>
      </c>
      <c r="B7" s="28">
        <f>B5-B6</f>
        <v>350000</v>
      </c>
      <c r="C7" s="28">
        <f t="shared" ref="C7:M7" si="1">C5-C6</f>
        <v>385000</v>
      </c>
      <c r="D7" s="28">
        <f t="shared" si="1"/>
        <v>420000</v>
      </c>
      <c r="E7" s="28">
        <f t="shared" si="1"/>
        <v>455000</v>
      </c>
      <c r="F7" s="28">
        <f t="shared" si="1"/>
        <v>490000</v>
      </c>
      <c r="G7" s="28">
        <f t="shared" si="1"/>
        <v>525000</v>
      </c>
      <c r="H7" s="28">
        <f t="shared" si="1"/>
        <v>560000</v>
      </c>
      <c r="I7" s="28">
        <f t="shared" si="1"/>
        <v>560000</v>
      </c>
      <c r="J7" s="28">
        <f t="shared" si="1"/>
        <v>560000</v>
      </c>
      <c r="K7" s="28">
        <f t="shared" si="1"/>
        <v>560000</v>
      </c>
      <c r="L7" s="28">
        <f t="shared" si="1"/>
        <v>560000</v>
      </c>
      <c r="M7" s="28">
        <f t="shared" si="1"/>
        <v>560000</v>
      </c>
      <c r="N7" s="31">
        <f t="shared" si="0"/>
        <v>5985000</v>
      </c>
    </row>
    <row r="9" spans="1:14" ht="22.05" customHeight="1" x14ac:dyDescent="0.3">
      <c r="A9" s="24" t="s">
        <v>56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x14ac:dyDescent="0.3">
      <c r="A10" s="21" t="s">
        <v>57</v>
      </c>
      <c r="B10" s="26">
        <f>Assumptions!$B$10</f>
        <v>100000</v>
      </c>
      <c r="C10" s="26">
        <f>Assumptions!$B$10</f>
        <v>100000</v>
      </c>
      <c r="D10" s="26">
        <f>Assumptions!$B$10</f>
        <v>100000</v>
      </c>
      <c r="E10" s="26">
        <f>Assumptions!$B$10</f>
        <v>100000</v>
      </c>
      <c r="F10" s="26">
        <f>Assumptions!$B$10</f>
        <v>100000</v>
      </c>
      <c r="G10" s="26">
        <f>Assumptions!$B$10</f>
        <v>100000</v>
      </c>
      <c r="H10" s="26">
        <f>Assumptions!$B$10</f>
        <v>100000</v>
      </c>
      <c r="I10" s="26">
        <f>Assumptions!$B$10</f>
        <v>100000</v>
      </c>
      <c r="J10" s="26">
        <f>Assumptions!$B$10</f>
        <v>100000</v>
      </c>
      <c r="K10" s="26">
        <f>Assumptions!$B$10</f>
        <v>100000</v>
      </c>
      <c r="L10" s="26">
        <f>Assumptions!$B$10</f>
        <v>100000</v>
      </c>
      <c r="M10" s="26">
        <f>Assumptions!$B$10</f>
        <v>100000</v>
      </c>
      <c r="N10" s="31">
        <f t="shared" si="0"/>
        <v>1200000</v>
      </c>
    </row>
    <row r="11" spans="1:14" x14ac:dyDescent="0.3">
      <c r="A11" s="21" t="s">
        <v>58</v>
      </c>
      <c r="B11" s="26">
        <f>Assumptions!$B$11</f>
        <v>180000</v>
      </c>
      <c r="C11" s="26">
        <f>Assumptions!$B$11</f>
        <v>180000</v>
      </c>
      <c r="D11" s="26">
        <f>Assumptions!$B$11</f>
        <v>180000</v>
      </c>
      <c r="E11" s="26">
        <f>Assumptions!$B$11</f>
        <v>180000</v>
      </c>
      <c r="F11" s="26">
        <f>Assumptions!$B$11</f>
        <v>180000</v>
      </c>
      <c r="G11" s="26">
        <f>Assumptions!$B$11</f>
        <v>180000</v>
      </c>
      <c r="H11" s="26">
        <f>Assumptions!$B$11</f>
        <v>180000</v>
      </c>
      <c r="I11" s="26">
        <f>Assumptions!$B$11</f>
        <v>180000</v>
      </c>
      <c r="J11" s="26">
        <f>Assumptions!$B$11</f>
        <v>180000</v>
      </c>
      <c r="K11" s="26">
        <f>Assumptions!$B$11</f>
        <v>180000</v>
      </c>
      <c r="L11" s="26">
        <f>Assumptions!$B$11</f>
        <v>180000</v>
      </c>
      <c r="M11" s="26">
        <f>Assumptions!$B$11</f>
        <v>180000</v>
      </c>
      <c r="N11" s="31">
        <f t="shared" si="0"/>
        <v>2160000</v>
      </c>
    </row>
    <row r="12" spans="1:14" x14ac:dyDescent="0.3">
      <c r="A12" s="21" t="s">
        <v>59</v>
      </c>
      <c r="B12" s="26">
        <f>B5*Assumptions!$B$12</f>
        <v>30000</v>
      </c>
      <c r="C12" s="26">
        <f>C5*Assumptions!$B$12</f>
        <v>33000</v>
      </c>
      <c r="D12" s="26">
        <f>D5*Assumptions!$B$12</f>
        <v>36000</v>
      </c>
      <c r="E12" s="26">
        <f>E5*Assumptions!$B$12</f>
        <v>39000</v>
      </c>
      <c r="F12" s="26">
        <f>F5*Assumptions!$B$12</f>
        <v>42000</v>
      </c>
      <c r="G12" s="26">
        <f>G5*Assumptions!$B$12</f>
        <v>45000</v>
      </c>
      <c r="H12" s="26">
        <f>H5*Assumptions!$B$12</f>
        <v>48000</v>
      </c>
      <c r="I12" s="26">
        <f>I5*Assumptions!$B$12</f>
        <v>48000</v>
      </c>
      <c r="J12" s="26">
        <f>J5*Assumptions!$B$12</f>
        <v>48000</v>
      </c>
      <c r="K12" s="26">
        <f>K5*Assumptions!$B$12</f>
        <v>48000</v>
      </c>
      <c r="L12" s="26">
        <f>L5*Assumptions!$B$12</f>
        <v>48000</v>
      </c>
      <c r="M12" s="26">
        <f>M5*Assumptions!$B$12</f>
        <v>48000</v>
      </c>
      <c r="N12" s="31">
        <f t="shared" si="0"/>
        <v>513000</v>
      </c>
    </row>
    <row r="13" spans="1:14" x14ac:dyDescent="0.3">
      <c r="A13" s="21" t="s">
        <v>60</v>
      </c>
      <c r="B13" s="26">
        <f>Assumptions!$B$13</f>
        <v>30000</v>
      </c>
      <c r="C13" s="26">
        <f>Assumptions!$B$13</f>
        <v>30000</v>
      </c>
      <c r="D13" s="26">
        <f>Assumptions!$B$13</f>
        <v>30000</v>
      </c>
      <c r="E13" s="26">
        <f>Assumptions!$B$13</f>
        <v>30000</v>
      </c>
      <c r="F13" s="26">
        <f>Assumptions!$B$13</f>
        <v>30000</v>
      </c>
      <c r="G13" s="26">
        <f>Assumptions!$B$13</f>
        <v>30000</v>
      </c>
      <c r="H13" s="26">
        <f>Assumptions!$B$13</f>
        <v>30000</v>
      </c>
      <c r="I13" s="26">
        <f>Assumptions!$B$13</f>
        <v>30000</v>
      </c>
      <c r="J13" s="26">
        <f>Assumptions!$B$13</f>
        <v>30000</v>
      </c>
      <c r="K13" s="26">
        <f>Assumptions!$B$13</f>
        <v>30000</v>
      </c>
      <c r="L13" s="26">
        <f>Assumptions!$B$13</f>
        <v>30000</v>
      </c>
      <c r="M13" s="26">
        <f>Assumptions!$B$13</f>
        <v>30000</v>
      </c>
      <c r="N13" s="31">
        <f t="shared" si="0"/>
        <v>360000</v>
      </c>
    </row>
    <row r="14" spans="1:14" x14ac:dyDescent="0.3">
      <c r="A14" s="21" t="s">
        <v>61</v>
      </c>
      <c r="B14" s="26">
        <f>Assumptions!$B$14</f>
        <v>40000</v>
      </c>
      <c r="C14" s="26">
        <f>Assumptions!$B$14</f>
        <v>40000</v>
      </c>
      <c r="D14" s="26">
        <f>Assumptions!$B$14</f>
        <v>40000</v>
      </c>
      <c r="E14" s="26">
        <f>Assumptions!$B$14</f>
        <v>40000</v>
      </c>
      <c r="F14" s="26">
        <f>Assumptions!$B$14</f>
        <v>40000</v>
      </c>
      <c r="G14" s="26">
        <f>Assumptions!$B$14</f>
        <v>40000</v>
      </c>
      <c r="H14" s="26">
        <f>Assumptions!$B$14</f>
        <v>40000</v>
      </c>
      <c r="I14" s="26">
        <f>Assumptions!$B$14</f>
        <v>40000</v>
      </c>
      <c r="J14" s="26">
        <f>Assumptions!$B$14</f>
        <v>40000</v>
      </c>
      <c r="K14" s="26">
        <f>Assumptions!$B$14</f>
        <v>40000</v>
      </c>
      <c r="L14" s="26">
        <f>Assumptions!$B$14</f>
        <v>40000</v>
      </c>
      <c r="M14" s="26">
        <f>Assumptions!$B$14</f>
        <v>40000</v>
      </c>
      <c r="N14" s="31">
        <f t="shared" si="0"/>
        <v>480000</v>
      </c>
    </row>
    <row r="15" spans="1:14" x14ac:dyDescent="0.3">
      <c r="A15" s="21" t="s">
        <v>62</v>
      </c>
      <c r="B15" s="26">
        <f>B5*Assumptions!$B$17</f>
        <v>25000</v>
      </c>
      <c r="C15" s="26">
        <f>C5*Assumptions!$B$17</f>
        <v>27500</v>
      </c>
      <c r="D15" s="26">
        <f>D5*Assumptions!$B$17</f>
        <v>30000</v>
      </c>
      <c r="E15" s="26">
        <f>E5*Assumptions!$B$17</f>
        <v>32500</v>
      </c>
      <c r="F15" s="26">
        <f>F5*Assumptions!$B$17</f>
        <v>35000</v>
      </c>
      <c r="G15" s="26">
        <f>G5*Assumptions!$B$17</f>
        <v>37500</v>
      </c>
      <c r="H15" s="26">
        <f>H5*Assumptions!$B$17</f>
        <v>40000</v>
      </c>
      <c r="I15" s="26">
        <f>I5*Assumptions!$B$17</f>
        <v>40000</v>
      </c>
      <c r="J15" s="26">
        <f>J5*Assumptions!$B$17</f>
        <v>40000</v>
      </c>
      <c r="K15" s="26">
        <f>K5*Assumptions!$B$17</f>
        <v>40000</v>
      </c>
      <c r="L15" s="26">
        <f>L5*Assumptions!$B$17</f>
        <v>40000</v>
      </c>
      <c r="M15" s="26">
        <f>M5*Assumptions!$B$17</f>
        <v>40000</v>
      </c>
      <c r="N15" s="31">
        <f t="shared" si="0"/>
        <v>427500</v>
      </c>
    </row>
    <row r="17" spans="1:14" x14ac:dyDescent="0.3">
      <c r="A17" s="29" t="s">
        <v>63</v>
      </c>
      <c r="B17" s="30">
        <f>SUM(B10:B15)</f>
        <v>405000</v>
      </c>
      <c r="C17" s="30">
        <f t="shared" ref="C17:M17" si="2">SUM(C10:C15)</f>
        <v>410500</v>
      </c>
      <c r="D17" s="30">
        <f t="shared" si="2"/>
        <v>416000</v>
      </c>
      <c r="E17" s="30">
        <f t="shared" si="2"/>
        <v>421500</v>
      </c>
      <c r="F17" s="30">
        <f t="shared" si="2"/>
        <v>427000</v>
      </c>
      <c r="G17" s="30">
        <f t="shared" si="2"/>
        <v>432500</v>
      </c>
      <c r="H17" s="30">
        <f t="shared" si="2"/>
        <v>438000</v>
      </c>
      <c r="I17" s="30">
        <f t="shared" si="2"/>
        <v>438000</v>
      </c>
      <c r="J17" s="30">
        <f t="shared" si="2"/>
        <v>438000</v>
      </c>
      <c r="K17" s="30">
        <f t="shared" si="2"/>
        <v>438000</v>
      </c>
      <c r="L17" s="30">
        <f t="shared" si="2"/>
        <v>438000</v>
      </c>
      <c r="M17" s="30">
        <f t="shared" si="2"/>
        <v>438000</v>
      </c>
      <c r="N17" s="31">
        <f t="shared" si="0"/>
        <v>5140500</v>
      </c>
    </row>
    <row r="19" spans="1:14" x14ac:dyDescent="0.3">
      <c r="A19" s="29" t="s">
        <v>64</v>
      </c>
      <c r="B19" s="30">
        <f>B7-B17</f>
        <v>-55000</v>
      </c>
      <c r="C19" s="30">
        <f t="shared" ref="C19:M19" si="3">C7-C17</f>
        <v>-25500</v>
      </c>
      <c r="D19" s="30">
        <f t="shared" si="3"/>
        <v>4000</v>
      </c>
      <c r="E19" s="30">
        <f t="shared" si="3"/>
        <v>33500</v>
      </c>
      <c r="F19" s="30">
        <f t="shared" si="3"/>
        <v>63000</v>
      </c>
      <c r="G19" s="30">
        <f t="shared" si="3"/>
        <v>92500</v>
      </c>
      <c r="H19" s="30">
        <f t="shared" si="3"/>
        <v>122000</v>
      </c>
      <c r="I19" s="30">
        <f t="shared" si="3"/>
        <v>122000</v>
      </c>
      <c r="J19" s="30">
        <f t="shared" si="3"/>
        <v>122000</v>
      </c>
      <c r="K19" s="30">
        <f t="shared" si="3"/>
        <v>122000</v>
      </c>
      <c r="L19" s="30">
        <f t="shared" si="3"/>
        <v>122000</v>
      </c>
      <c r="M19" s="30">
        <f t="shared" si="3"/>
        <v>122000</v>
      </c>
      <c r="N19" s="31">
        <f t="shared" si="0"/>
        <v>844500</v>
      </c>
    </row>
  </sheetData>
  <mergeCells count="3">
    <mergeCell ref="A1:N1"/>
    <mergeCell ref="A2:N2"/>
    <mergeCell ref="A9:N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F221-47E1-4F4D-990D-4CDD15BAE64D}">
  <dimension ref="A1:E22"/>
  <sheetViews>
    <sheetView workbookViewId="0">
      <selection activeCell="G10" sqref="G10"/>
    </sheetView>
  </sheetViews>
  <sheetFormatPr defaultRowHeight="14.4" x14ac:dyDescent="0.3"/>
  <cols>
    <col min="1" max="1" width="15.44140625" customWidth="1"/>
    <col min="2" max="2" width="18.33203125" customWidth="1"/>
    <col min="3" max="3" width="20.5546875" customWidth="1"/>
    <col min="4" max="4" width="25.5546875" customWidth="1"/>
  </cols>
  <sheetData>
    <row r="1" spans="1:4" ht="28.05" customHeight="1" x14ac:dyDescent="0.3">
      <c r="A1" s="5" t="s">
        <v>70</v>
      </c>
      <c r="B1" s="5"/>
      <c r="C1" s="5"/>
      <c r="D1" s="5"/>
    </row>
    <row r="3" spans="1:4" ht="15.6" x14ac:dyDescent="0.3">
      <c r="A3" s="35" t="s">
        <v>71</v>
      </c>
      <c r="B3" s="37" t="s">
        <v>3</v>
      </c>
    </row>
    <row r="4" spans="1:4" x14ac:dyDescent="0.3">
      <c r="A4" s="36" t="s">
        <v>6</v>
      </c>
      <c r="B4" s="38">
        <f>Assumptions!$B$5</f>
        <v>2000000</v>
      </c>
    </row>
    <row r="7" spans="1:4" ht="15.6" x14ac:dyDescent="0.3">
      <c r="A7" s="46" t="s">
        <v>72</v>
      </c>
      <c r="B7" s="39" t="s">
        <v>64</v>
      </c>
      <c r="C7" s="39" t="s">
        <v>73</v>
      </c>
      <c r="D7" s="39" t="s">
        <v>74</v>
      </c>
    </row>
    <row r="8" spans="1:4" x14ac:dyDescent="0.3">
      <c r="A8" s="21" t="s">
        <v>41</v>
      </c>
      <c r="B8" s="26">
        <f>'P&amp;L'!B19</f>
        <v>-55000</v>
      </c>
      <c r="C8" s="42">
        <f>B8</f>
        <v>-55000</v>
      </c>
      <c r="D8" s="44">
        <f>$B$4-C8</f>
        <v>2055000</v>
      </c>
    </row>
    <row r="9" spans="1:4" x14ac:dyDescent="0.3">
      <c r="A9" s="21" t="s">
        <v>42</v>
      </c>
      <c r="B9" s="26">
        <f>'P&amp;L'!C19</f>
        <v>-25500</v>
      </c>
      <c r="C9" s="42">
        <f>C8+B9</f>
        <v>-80500</v>
      </c>
      <c r="D9" s="44">
        <f t="shared" ref="D9:D19" si="0">$B$4-C9</f>
        <v>2080500</v>
      </c>
    </row>
    <row r="10" spans="1:4" x14ac:dyDescent="0.3">
      <c r="A10" s="21" t="s">
        <v>43</v>
      </c>
      <c r="B10" s="26">
        <f>'P&amp;L'!D19</f>
        <v>4000</v>
      </c>
      <c r="C10" s="42">
        <f t="shared" ref="C10:C19" si="1">C9+B10</f>
        <v>-76500</v>
      </c>
      <c r="D10" s="44">
        <f t="shared" si="0"/>
        <v>2076500</v>
      </c>
    </row>
    <row r="11" spans="1:4" x14ac:dyDescent="0.3">
      <c r="A11" s="21" t="s">
        <v>44</v>
      </c>
      <c r="B11" s="26">
        <f>'P&amp;L'!E19</f>
        <v>33500</v>
      </c>
      <c r="C11" s="42">
        <f t="shared" si="1"/>
        <v>-43000</v>
      </c>
      <c r="D11" s="44">
        <f t="shared" si="0"/>
        <v>2043000</v>
      </c>
    </row>
    <row r="12" spans="1:4" x14ac:dyDescent="0.3">
      <c r="A12" s="21" t="s">
        <v>45</v>
      </c>
      <c r="B12" s="26">
        <f>'P&amp;L'!F19</f>
        <v>63000</v>
      </c>
      <c r="C12" s="42">
        <f t="shared" si="1"/>
        <v>20000</v>
      </c>
      <c r="D12" s="44">
        <f t="shared" si="0"/>
        <v>1980000</v>
      </c>
    </row>
    <row r="13" spans="1:4" x14ac:dyDescent="0.3">
      <c r="A13" s="21" t="s">
        <v>46</v>
      </c>
      <c r="B13" s="26">
        <f>'P&amp;L'!G19</f>
        <v>92500</v>
      </c>
      <c r="C13" s="42">
        <f t="shared" si="1"/>
        <v>112500</v>
      </c>
      <c r="D13" s="44">
        <f t="shared" si="0"/>
        <v>1887500</v>
      </c>
    </row>
    <row r="14" spans="1:4" x14ac:dyDescent="0.3">
      <c r="A14" s="21" t="s">
        <v>47</v>
      </c>
      <c r="B14" s="26">
        <f>'P&amp;L'!H19</f>
        <v>122000</v>
      </c>
      <c r="C14" s="42">
        <f t="shared" si="1"/>
        <v>234500</v>
      </c>
      <c r="D14" s="44">
        <f t="shared" si="0"/>
        <v>1765500</v>
      </c>
    </row>
    <row r="15" spans="1:4" x14ac:dyDescent="0.3">
      <c r="A15" s="21" t="s">
        <v>48</v>
      </c>
      <c r="B15" s="26">
        <f>'P&amp;L'!I19</f>
        <v>122000</v>
      </c>
      <c r="C15" s="42">
        <f t="shared" si="1"/>
        <v>356500</v>
      </c>
      <c r="D15" s="44">
        <f t="shared" si="0"/>
        <v>1643500</v>
      </c>
    </row>
    <row r="16" spans="1:4" x14ac:dyDescent="0.3">
      <c r="A16" s="21" t="s">
        <v>49</v>
      </c>
      <c r="B16" s="26">
        <f>'P&amp;L'!J19</f>
        <v>122000</v>
      </c>
      <c r="C16" s="42">
        <f t="shared" si="1"/>
        <v>478500</v>
      </c>
      <c r="D16" s="44">
        <f t="shared" si="0"/>
        <v>1521500</v>
      </c>
    </row>
    <row r="17" spans="1:5" x14ac:dyDescent="0.3">
      <c r="A17" s="21" t="s">
        <v>50</v>
      </c>
      <c r="B17" s="26">
        <f>'P&amp;L'!K19</f>
        <v>122000</v>
      </c>
      <c r="C17" s="42">
        <f t="shared" si="1"/>
        <v>600500</v>
      </c>
      <c r="D17" s="44">
        <f t="shared" si="0"/>
        <v>1399500</v>
      </c>
    </row>
    <row r="18" spans="1:5" x14ac:dyDescent="0.3">
      <c r="A18" s="21" t="s">
        <v>51</v>
      </c>
      <c r="B18" s="26">
        <f>'P&amp;L'!L19</f>
        <v>122000</v>
      </c>
      <c r="C18" s="42">
        <f t="shared" si="1"/>
        <v>722500</v>
      </c>
      <c r="D18" s="44">
        <f t="shared" si="0"/>
        <v>1277500</v>
      </c>
    </row>
    <row r="19" spans="1:5" x14ac:dyDescent="0.3">
      <c r="A19" s="47" t="s">
        <v>52</v>
      </c>
      <c r="B19" s="40">
        <f>'P&amp;L'!M19</f>
        <v>122000</v>
      </c>
      <c r="C19" s="43">
        <f t="shared" si="1"/>
        <v>844500</v>
      </c>
      <c r="D19" s="45">
        <f t="shared" si="0"/>
        <v>1155500</v>
      </c>
    </row>
    <row r="22" spans="1:5" x14ac:dyDescent="0.3">
      <c r="E22" s="4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CF8F-6741-456F-A4E3-6A011CB08353}">
  <dimension ref="A1:D12"/>
  <sheetViews>
    <sheetView workbookViewId="0">
      <selection activeCell="C15" sqref="C15"/>
    </sheetView>
  </sheetViews>
  <sheetFormatPr defaultRowHeight="14.4" x14ac:dyDescent="0.3"/>
  <cols>
    <col min="1" max="1" width="30.21875" customWidth="1"/>
    <col min="2" max="2" width="12.21875" customWidth="1"/>
    <col min="3" max="3" width="12.109375" customWidth="1"/>
    <col min="4" max="4" width="21.21875" customWidth="1"/>
  </cols>
  <sheetData>
    <row r="1" spans="1:4" ht="23.4" x14ac:dyDescent="0.45">
      <c r="A1" s="4" t="s">
        <v>75</v>
      </c>
      <c r="B1" s="4"/>
      <c r="C1" s="4"/>
      <c r="D1" s="4"/>
    </row>
    <row r="2" spans="1:4" ht="15.6" x14ac:dyDescent="0.3">
      <c r="A2" s="23" t="s">
        <v>76</v>
      </c>
      <c r="B2" s="23"/>
      <c r="C2" s="23"/>
      <c r="D2" s="23"/>
    </row>
    <row r="4" spans="1:4" ht="15.6" x14ac:dyDescent="0.3">
      <c r="A4" s="39" t="s">
        <v>71</v>
      </c>
      <c r="B4" s="39" t="s">
        <v>3</v>
      </c>
      <c r="C4" s="39" t="s">
        <v>4</v>
      </c>
      <c r="D4" s="39" t="s">
        <v>5</v>
      </c>
    </row>
    <row r="5" spans="1:4" x14ac:dyDescent="0.3">
      <c r="A5" s="21" t="s">
        <v>77</v>
      </c>
      <c r="B5">
        <v>50</v>
      </c>
      <c r="C5" s="48" t="s">
        <v>78</v>
      </c>
      <c r="D5" s="49" t="s">
        <v>79</v>
      </c>
    </row>
    <row r="6" spans="1:4" x14ac:dyDescent="0.3">
      <c r="A6" s="21" t="s">
        <v>31</v>
      </c>
      <c r="B6" s="26">
        <f>Assumptions!$B$18</f>
        <v>50000</v>
      </c>
      <c r="C6" s="48" t="s">
        <v>32</v>
      </c>
      <c r="D6" s="49" t="s">
        <v>80</v>
      </c>
    </row>
    <row r="7" spans="1:4" x14ac:dyDescent="0.3">
      <c r="A7" s="21" t="s">
        <v>81</v>
      </c>
      <c r="B7" s="1">
        <f>Assumptions!$B$21</f>
        <v>1</v>
      </c>
      <c r="C7" s="48" t="s">
        <v>67</v>
      </c>
      <c r="D7" s="49" t="s">
        <v>82</v>
      </c>
    </row>
    <row r="10" spans="1:4" ht="15.6" x14ac:dyDescent="0.3">
      <c r="A10" s="39" t="s">
        <v>71</v>
      </c>
      <c r="B10" s="39" t="s">
        <v>83</v>
      </c>
      <c r="C10" s="39" t="s">
        <v>84</v>
      </c>
      <c r="D10" s="39" t="s">
        <v>85</v>
      </c>
    </row>
    <row r="11" spans="1:4" x14ac:dyDescent="0.3">
      <c r="A11" s="21" t="s">
        <v>86</v>
      </c>
      <c r="B11">
        <f>B5</f>
        <v>50</v>
      </c>
      <c r="C11">
        <f>B11*(1+$B$7)</f>
        <v>100</v>
      </c>
      <c r="D11">
        <f>C11*(1+$B$7)</f>
        <v>200</v>
      </c>
    </row>
    <row r="12" spans="1:4" x14ac:dyDescent="0.3">
      <c r="A12" s="50" t="s">
        <v>87</v>
      </c>
      <c r="B12" s="51">
        <f>B11*$B$6</f>
        <v>2500000</v>
      </c>
      <c r="C12" s="51">
        <f>C11*$B$6</f>
        <v>5000000</v>
      </c>
      <c r="D12" s="51">
        <f>D11*$B$6</f>
        <v>10000000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EA79-7C23-44EE-B36B-7FDC4ACCE767}">
  <dimension ref="A1:D14"/>
  <sheetViews>
    <sheetView workbookViewId="0">
      <selection activeCell="D14" sqref="D14"/>
    </sheetView>
  </sheetViews>
  <sheetFormatPr defaultRowHeight="14.4" x14ac:dyDescent="0.3"/>
  <cols>
    <col min="1" max="1" width="24.109375" customWidth="1"/>
    <col min="2" max="4" width="13.33203125" customWidth="1"/>
  </cols>
  <sheetData>
    <row r="1" spans="1:4" ht="23.4" x14ac:dyDescent="0.3">
      <c r="A1" s="5" t="s">
        <v>88</v>
      </c>
      <c r="B1" s="5"/>
      <c r="C1" s="5"/>
      <c r="D1" s="5"/>
    </row>
    <row r="2" spans="1:4" ht="15.6" x14ac:dyDescent="0.3">
      <c r="A2" s="23" t="s">
        <v>89</v>
      </c>
      <c r="B2" s="23"/>
      <c r="C2" s="23"/>
      <c r="D2" s="23"/>
    </row>
    <row r="4" spans="1:4" ht="15.6" x14ac:dyDescent="0.3">
      <c r="A4" s="39" t="s">
        <v>71</v>
      </c>
      <c r="B4" s="39" t="s">
        <v>90</v>
      </c>
      <c r="C4" s="39" t="s">
        <v>91</v>
      </c>
      <c r="D4" s="39" t="s">
        <v>92</v>
      </c>
    </row>
    <row r="5" spans="1:4" x14ac:dyDescent="0.3">
      <c r="A5" s="21" t="s">
        <v>93</v>
      </c>
      <c r="B5" s="26">
        <f>Assumptions!$B$7</f>
        <v>600000</v>
      </c>
      <c r="C5" s="26">
        <f>Assumptions!$B$6</f>
        <v>800000</v>
      </c>
      <c r="D5" s="26">
        <f>Assumptions!$B$8</f>
        <v>1000000</v>
      </c>
    </row>
    <row r="6" spans="1:4" x14ac:dyDescent="0.3">
      <c r="A6" s="21" t="s">
        <v>94</v>
      </c>
      <c r="B6" s="26">
        <f>B5*12</f>
        <v>7200000</v>
      </c>
      <c r="C6" s="26">
        <f>C5*12</f>
        <v>9600000</v>
      </c>
      <c r="D6" s="26">
        <f>D5*12</f>
        <v>12000000</v>
      </c>
    </row>
    <row r="7" spans="1:4" x14ac:dyDescent="0.3">
      <c r="A7" s="21" t="s">
        <v>95</v>
      </c>
      <c r="B7" s="26">
        <f>B6*Assumptions!$B$9</f>
        <v>2160000</v>
      </c>
      <c r="C7" s="26">
        <f>C6*Assumptions!$B$9</f>
        <v>2880000</v>
      </c>
      <c r="D7" s="26">
        <f>D6*Assumptions!$B$9</f>
        <v>3600000</v>
      </c>
    </row>
    <row r="8" spans="1:4" x14ac:dyDescent="0.3">
      <c r="A8" s="21" t="s">
        <v>96</v>
      </c>
      <c r="B8" s="26">
        <f>B6-B7</f>
        <v>5040000</v>
      </c>
      <c r="C8" s="26">
        <f t="shared" ref="C8:D8" si="0">C6-C7</f>
        <v>6720000</v>
      </c>
      <c r="D8" s="26">
        <f t="shared" si="0"/>
        <v>8400000</v>
      </c>
    </row>
    <row r="9" spans="1:4" x14ac:dyDescent="0.3">
      <c r="A9" s="21" t="s">
        <v>97</v>
      </c>
      <c r="B9" s="26">
        <f>B6*Assumptions!$B$12</f>
        <v>432000</v>
      </c>
      <c r="C9" s="26">
        <f>C6*Assumptions!$B$12</f>
        <v>576000</v>
      </c>
      <c r="D9" s="26">
        <f>D6*Assumptions!$B$12</f>
        <v>720000</v>
      </c>
    </row>
    <row r="10" spans="1:4" x14ac:dyDescent="0.3">
      <c r="A10" s="21" t="s">
        <v>98</v>
      </c>
      <c r="B10" s="26">
        <f>B6*Assumptions!$B$17</f>
        <v>360000</v>
      </c>
      <c r="C10" s="26">
        <f>C6*Assumptions!$B$17</f>
        <v>480000</v>
      </c>
      <c r="D10" s="26">
        <f>D6*Assumptions!$B$17</f>
        <v>600000</v>
      </c>
    </row>
    <row r="11" spans="1:4" x14ac:dyDescent="0.3">
      <c r="A11" s="21" t="s">
        <v>99</v>
      </c>
      <c r="B11" s="26">
        <f>(Assumptions!$B$10+Assumptions!$B$11+Assumptions!$B$13+Assumptions!$B$14)*12</f>
        <v>4200000</v>
      </c>
      <c r="C11" s="26">
        <f>(Assumptions!$B$10+Assumptions!$B$11+Assumptions!$B$13+Assumptions!$B$14)*12</f>
        <v>4200000</v>
      </c>
      <c r="D11" s="26">
        <f>(Assumptions!$B$10+Assumptions!$B$11+Assumptions!$B$13+Assumptions!$B$14)*12</f>
        <v>4200000</v>
      </c>
    </row>
    <row r="12" spans="1:4" x14ac:dyDescent="0.3">
      <c r="A12" s="21" t="s">
        <v>100</v>
      </c>
      <c r="B12" s="26">
        <f>B8-B9-B10-B11</f>
        <v>48000</v>
      </c>
      <c r="C12" s="26">
        <f t="shared" ref="C12:D12" si="1">C8-C9-C10-C11</f>
        <v>1464000</v>
      </c>
      <c r="D12" s="26">
        <f t="shared" si="1"/>
        <v>2880000</v>
      </c>
    </row>
    <row r="13" spans="1:4" x14ac:dyDescent="0.3">
      <c r="A13" s="21" t="s">
        <v>6</v>
      </c>
      <c r="B13" s="26">
        <f>Assumptions!$B$5</f>
        <v>2000000</v>
      </c>
      <c r="C13" s="26">
        <f>Assumptions!$B$5</f>
        <v>2000000</v>
      </c>
      <c r="D13" s="26">
        <f>Assumptions!$B$5</f>
        <v>2000000</v>
      </c>
    </row>
    <row r="14" spans="1:4" x14ac:dyDescent="0.3">
      <c r="A14" s="50" t="s">
        <v>101</v>
      </c>
      <c r="B14" s="73">
        <f>IFERROR(B13/B12,"N/A")</f>
        <v>41.666666666666664</v>
      </c>
      <c r="C14" s="73">
        <f t="shared" ref="C14:D14" si="2">IFERROR(C13/C12,"N/A")</f>
        <v>1.3661202185792349</v>
      </c>
      <c r="D14" s="73">
        <f t="shared" si="2"/>
        <v>0.69444444444444442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DE44-36AE-45D7-BB76-F1763EC37BC7}">
  <dimension ref="A1:D42"/>
  <sheetViews>
    <sheetView topLeftCell="A21" workbookViewId="0">
      <selection activeCell="D42" sqref="D42"/>
    </sheetView>
  </sheetViews>
  <sheetFormatPr defaultRowHeight="14.4" x14ac:dyDescent="0.3"/>
  <cols>
    <col min="1" max="1" width="24.109375" customWidth="1"/>
    <col min="2" max="2" width="9.5546875" customWidth="1"/>
    <col min="3" max="3" width="11.88671875" customWidth="1"/>
    <col min="4" max="4" width="42.44140625" customWidth="1"/>
  </cols>
  <sheetData>
    <row r="1" spans="1:2" x14ac:dyDescent="0.3">
      <c r="A1" t="s">
        <v>102</v>
      </c>
    </row>
    <row r="2" spans="1:2" x14ac:dyDescent="0.3">
      <c r="A2" t="s">
        <v>103</v>
      </c>
    </row>
    <row r="4" spans="1:2" x14ac:dyDescent="0.3">
      <c r="A4" t="s">
        <v>104</v>
      </c>
    </row>
    <row r="5" spans="1:2" x14ac:dyDescent="0.3">
      <c r="A5" t="s">
        <v>105</v>
      </c>
      <c r="B5">
        <v>2500000</v>
      </c>
    </row>
    <row r="6" spans="1:2" x14ac:dyDescent="0.3">
      <c r="A6" t="s">
        <v>106</v>
      </c>
      <c r="B6">
        <v>800000</v>
      </c>
    </row>
    <row r="7" spans="1:2" x14ac:dyDescent="0.3">
      <c r="A7" t="s">
        <v>107</v>
      </c>
      <c r="B7" t="s">
        <v>111</v>
      </c>
    </row>
    <row r="8" spans="1:2" x14ac:dyDescent="0.3">
      <c r="A8" t="s">
        <v>108</v>
      </c>
      <c r="B8">
        <v>3</v>
      </c>
    </row>
    <row r="9" spans="1:2" x14ac:dyDescent="0.3">
      <c r="A9" t="s">
        <v>109</v>
      </c>
      <c r="B9">
        <v>0</v>
      </c>
    </row>
    <row r="10" spans="1:2" x14ac:dyDescent="0.3">
      <c r="A10" t="s">
        <v>110</v>
      </c>
      <c r="B10">
        <v>0</v>
      </c>
    </row>
    <row r="13" spans="1:2" x14ac:dyDescent="0.3">
      <c r="A13" t="s">
        <v>112</v>
      </c>
    </row>
    <row r="14" spans="1:2" x14ac:dyDescent="0.3">
      <c r="A14" t="s">
        <v>113</v>
      </c>
      <c r="B14">
        <f>Assumptions!$B$5</f>
        <v>2000000</v>
      </c>
    </row>
    <row r="15" spans="1:2" x14ac:dyDescent="0.3">
      <c r="A15" t="s">
        <v>114</v>
      </c>
      <c r="B15">
        <f>MAX(B14-B5,0)</f>
        <v>0</v>
      </c>
    </row>
    <row r="16" spans="1:2" x14ac:dyDescent="0.3">
      <c r="A16" t="s">
        <v>115</v>
      </c>
      <c r="B16">
        <f>B6*12</f>
        <v>9600000</v>
      </c>
    </row>
    <row r="17" spans="1:4" x14ac:dyDescent="0.3">
      <c r="A17" t="s">
        <v>116</v>
      </c>
      <c r="B17">
        <f>Sensitivity!C12</f>
        <v>1464000</v>
      </c>
    </row>
    <row r="18" spans="1:4" x14ac:dyDescent="0.3">
      <c r="A18" t="s">
        <v>117</v>
      </c>
      <c r="B18">
        <f>IFERROR(B14/B17,"N/A")</f>
        <v>1.3661202185792349</v>
      </c>
    </row>
    <row r="19" spans="1:4" x14ac:dyDescent="0.3">
      <c r="A19" t="s">
        <v>118</v>
      </c>
      <c r="B19" t="str">
        <f>IF(B15&gt;0,"NO-GO",IF(B18&lt;=2,"GO","REVIEW"))</f>
        <v>GO</v>
      </c>
    </row>
    <row r="22" spans="1:4" ht="21" x14ac:dyDescent="0.4">
      <c r="A22" s="52" t="s">
        <v>119</v>
      </c>
      <c r="B22" s="52"/>
    </row>
    <row r="23" spans="1:4" x14ac:dyDescent="0.3">
      <c r="A23" s="21" t="s">
        <v>120</v>
      </c>
      <c r="B23" t="str">
        <f>IF(B5&gt;=B14,"PASS","FAIL")</f>
        <v>PASS</v>
      </c>
    </row>
    <row r="24" spans="1:4" x14ac:dyDescent="0.3">
      <c r="A24" s="21" t="s">
        <v>121</v>
      </c>
      <c r="B24" t="str">
        <f>IF(B6&gt;=Assumptions!$B$6,"PASS","REVIEW")</f>
        <v>PASS</v>
      </c>
    </row>
    <row r="25" spans="1:4" x14ac:dyDescent="0.3">
      <c r="A25" s="21" t="s">
        <v>122</v>
      </c>
      <c r="B25" t="str">
        <f>IF(B8&gt;=2,"PASS","REVIEW")</f>
        <v>PASS</v>
      </c>
    </row>
    <row r="26" spans="1:4" x14ac:dyDescent="0.3">
      <c r="A26" s="21" t="s">
        <v>123</v>
      </c>
      <c r="B26" t="str">
        <f>IF(COUNTIF(B23:B25,"FAIL")&gt;0,"NO-GO",IF(COUNTIF(B23:B25,"REVIEW")&gt;0,"REVIEW","GO"))</f>
        <v>GO</v>
      </c>
    </row>
    <row r="29" spans="1:4" ht="21" x14ac:dyDescent="0.4">
      <c r="A29" s="52" t="s">
        <v>124</v>
      </c>
      <c r="B29" s="52"/>
      <c r="C29" s="52"/>
      <c r="D29" s="52"/>
    </row>
    <row r="30" spans="1:4" ht="15.6" x14ac:dyDescent="0.3">
      <c r="A30" s="35" t="s">
        <v>125</v>
      </c>
      <c r="B30" s="35" t="s">
        <v>126</v>
      </c>
      <c r="C30" s="35" t="s">
        <v>127</v>
      </c>
      <c r="D30" s="35" t="s">
        <v>128</v>
      </c>
    </row>
    <row r="31" spans="1:4" x14ac:dyDescent="0.3">
      <c r="A31" s="21" t="s">
        <v>129</v>
      </c>
      <c r="B31" s="54">
        <f>IF(B5&gt;=B14,30,0)</f>
        <v>30</v>
      </c>
      <c r="C31">
        <f>30</f>
        <v>30</v>
      </c>
      <c r="D31" t="s">
        <v>130</v>
      </c>
    </row>
    <row r="32" spans="1:4" x14ac:dyDescent="0.3">
      <c r="A32" s="21" t="s">
        <v>131</v>
      </c>
      <c r="B32" s="54">
        <f>IF(B6&gt;=Assumptions!$B$8,30,IF(B6&gt;=Assumptions!$B$6,25,IF(B6&gt;=Assumptions!$B$7,10,0)))</f>
        <v>25</v>
      </c>
      <c r="C32">
        <f>30</f>
        <v>30</v>
      </c>
      <c r="D32" t="s">
        <v>132</v>
      </c>
    </row>
    <row r="33" spans="1:4" x14ac:dyDescent="0.3">
      <c r="A33" s="21" t="s">
        <v>108</v>
      </c>
      <c r="B33" s="54">
        <f>IF(B8&gt;=5,20,IF(B8&gt;=3,15,IF(B8&gt;=1,10,0)))</f>
        <v>15</v>
      </c>
      <c r="C33">
        <f>20</f>
        <v>20</v>
      </c>
      <c r="D33" t="s">
        <v>133</v>
      </c>
    </row>
    <row r="34" spans="1:4" x14ac:dyDescent="0.3">
      <c r="A34" s="21" t="s">
        <v>134</v>
      </c>
      <c r="B34" s="54">
        <f>IF(B9&gt;=3,10,IF(B9&gt;=1,7,5))</f>
        <v>5</v>
      </c>
      <c r="C34">
        <f>10</f>
        <v>10</v>
      </c>
      <c r="D34" t="s">
        <v>135</v>
      </c>
    </row>
    <row r="35" spans="1:4" x14ac:dyDescent="0.3">
      <c r="A35" s="21" t="s">
        <v>136</v>
      </c>
      <c r="B35" s="54">
        <f>IF(B10=0,10,IF(B10&lt;=500000,5,0))</f>
        <v>10</v>
      </c>
      <c r="C35">
        <f>10</f>
        <v>10</v>
      </c>
      <c r="D35" t="s">
        <v>137</v>
      </c>
    </row>
    <row r="37" spans="1:4" x14ac:dyDescent="0.3">
      <c r="A37" s="55" t="s">
        <v>138</v>
      </c>
      <c r="B37" s="63">
        <f>SUM(B31:B35)</f>
        <v>85</v>
      </c>
      <c r="C37" s="64">
        <f>SUM(C31:C35)</f>
        <v>100</v>
      </c>
    </row>
    <row r="38" spans="1:4" x14ac:dyDescent="0.3">
      <c r="A38" s="55" t="s">
        <v>139</v>
      </c>
      <c r="B38" s="62" t="str">
        <f>IF(B37&gt;=80,"HIGH",IF(B37&gt;=60,"MEDIUM","LOW"))</f>
        <v>HIGH</v>
      </c>
      <c r="C38" s="62"/>
      <c r="D38" s="53"/>
    </row>
    <row r="39" spans="1:4" x14ac:dyDescent="0.3">
      <c r="A39" s="55" t="s">
        <v>140</v>
      </c>
      <c r="B39" s="61" t="str">
        <f>IF(B37&gt;=80,"Prioritize for sales call",IF(B37&gt;=60,"Schedule qualification call","Nurture / review later"))</f>
        <v>Prioritize for sales call</v>
      </c>
      <c r="C39" s="61"/>
    </row>
    <row r="42" spans="1:4" x14ac:dyDescent="0.3">
      <c r="B42" s="56"/>
    </row>
  </sheetData>
  <mergeCells count="4">
    <mergeCell ref="A22:B22"/>
    <mergeCell ref="A29:D29"/>
    <mergeCell ref="B38:C38"/>
    <mergeCell ref="B39:C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2B39-30E6-4F59-9BDC-E001BEB1D088}">
  <dimension ref="A1:H25"/>
  <sheetViews>
    <sheetView tabSelected="1" topLeftCell="A12" workbookViewId="0">
      <selection activeCell="B20" sqref="B20"/>
    </sheetView>
  </sheetViews>
  <sheetFormatPr defaultRowHeight="14.4" x14ac:dyDescent="0.3"/>
  <cols>
    <col min="1" max="2" width="31.33203125" customWidth="1"/>
    <col min="3" max="3" width="27.77734375" customWidth="1"/>
    <col min="4" max="4" width="19.6640625" customWidth="1"/>
    <col min="5" max="5" width="24" customWidth="1"/>
    <col min="6" max="6" width="26" customWidth="1"/>
    <col min="7" max="7" width="14.44140625" customWidth="1"/>
    <col min="8" max="8" width="31.88671875" customWidth="1"/>
  </cols>
  <sheetData>
    <row r="1" spans="1:8" ht="23.4" x14ac:dyDescent="0.45">
      <c r="A1" s="4" t="s">
        <v>141</v>
      </c>
      <c r="B1" s="4"/>
      <c r="C1" s="4"/>
      <c r="D1" s="4"/>
      <c r="E1" s="4"/>
      <c r="F1" s="4"/>
      <c r="G1" s="4"/>
      <c r="H1" s="4"/>
    </row>
    <row r="2" spans="1:8" ht="15.6" x14ac:dyDescent="0.3">
      <c r="A2" s="23" t="s">
        <v>142</v>
      </c>
      <c r="B2" s="23"/>
      <c r="C2" s="23"/>
      <c r="D2" s="23"/>
      <c r="E2" s="23"/>
      <c r="F2" s="23"/>
      <c r="G2" s="23"/>
      <c r="H2" s="23"/>
    </row>
    <row r="4" spans="1:8" ht="15.6" x14ac:dyDescent="0.3">
      <c r="A4" s="39" t="s">
        <v>143</v>
      </c>
      <c r="B4" s="39" t="s">
        <v>144</v>
      </c>
      <c r="C4" s="39" t="s">
        <v>145</v>
      </c>
      <c r="D4" s="39" t="s">
        <v>146</v>
      </c>
      <c r="E4" s="39" t="s">
        <v>147</v>
      </c>
      <c r="F4" s="39" t="s">
        <v>151</v>
      </c>
      <c r="G4" s="39" t="s">
        <v>153</v>
      </c>
      <c r="H4" s="39" t="s">
        <v>152</v>
      </c>
    </row>
    <row r="5" spans="1:8" ht="28.8" x14ac:dyDescent="0.3">
      <c r="A5" s="57">
        <v>1</v>
      </c>
      <c r="B5" s="58" t="s">
        <v>154</v>
      </c>
      <c r="C5" s="59" t="s">
        <v>155</v>
      </c>
      <c r="D5" s="58" t="s">
        <v>156</v>
      </c>
      <c r="E5" s="58" t="s">
        <v>157</v>
      </c>
      <c r="F5" s="58" t="s">
        <v>158</v>
      </c>
      <c r="G5" s="58" t="s">
        <v>159</v>
      </c>
      <c r="H5" s="58" t="s">
        <v>160</v>
      </c>
    </row>
    <row r="6" spans="1:8" ht="28.8" x14ac:dyDescent="0.3">
      <c r="A6" s="57">
        <v>2</v>
      </c>
      <c r="B6" s="58" t="s">
        <v>161</v>
      </c>
      <c r="C6" s="59" t="s">
        <v>162</v>
      </c>
      <c r="D6" s="58" t="s">
        <v>163</v>
      </c>
      <c r="E6" s="58" t="s">
        <v>164</v>
      </c>
      <c r="F6" s="59" t="s">
        <v>165</v>
      </c>
      <c r="G6" s="58" t="s">
        <v>166</v>
      </c>
      <c r="H6" s="58" t="s">
        <v>167</v>
      </c>
    </row>
    <row r="7" spans="1:8" ht="28.8" x14ac:dyDescent="0.3">
      <c r="A7" s="57">
        <v>3</v>
      </c>
      <c r="B7" s="58" t="s">
        <v>168</v>
      </c>
      <c r="C7" s="59" t="s">
        <v>169</v>
      </c>
      <c r="D7" s="58" t="s">
        <v>170</v>
      </c>
      <c r="E7" s="58" t="s">
        <v>171</v>
      </c>
      <c r="F7" s="59" t="s">
        <v>172</v>
      </c>
      <c r="G7" s="58" t="s">
        <v>173</v>
      </c>
      <c r="H7" s="58" t="s">
        <v>174</v>
      </c>
    </row>
    <row r="8" spans="1:8" ht="28.8" x14ac:dyDescent="0.3">
      <c r="A8" s="57">
        <v>4</v>
      </c>
      <c r="B8" s="58" t="s">
        <v>150</v>
      </c>
      <c r="C8" s="58" t="s">
        <v>175</v>
      </c>
      <c r="D8" s="58" t="s">
        <v>176</v>
      </c>
      <c r="E8" s="58" t="s">
        <v>177</v>
      </c>
      <c r="F8" s="59" t="s">
        <v>178</v>
      </c>
      <c r="G8" s="58" t="s">
        <v>173</v>
      </c>
      <c r="H8" s="58" t="s">
        <v>179</v>
      </c>
    </row>
    <row r="9" spans="1:8" ht="28.8" x14ac:dyDescent="0.3">
      <c r="A9" s="57">
        <v>5</v>
      </c>
      <c r="B9" s="58" t="s">
        <v>180</v>
      </c>
      <c r="C9" s="58" t="s">
        <v>181</v>
      </c>
      <c r="D9" s="58" t="s">
        <v>148</v>
      </c>
      <c r="E9" s="58" t="s">
        <v>149</v>
      </c>
      <c r="F9" s="59" t="s">
        <v>182</v>
      </c>
      <c r="G9" s="58" t="s">
        <v>166</v>
      </c>
      <c r="H9" s="58" t="s">
        <v>183</v>
      </c>
    </row>
    <row r="10" spans="1:8" ht="28.8" x14ac:dyDescent="0.3">
      <c r="A10" s="57">
        <v>6</v>
      </c>
      <c r="B10" s="58" t="s">
        <v>184</v>
      </c>
      <c r="C10" s="59" t="s">
        <v>185</v>
      </c>
      <c r="D10" s="58" t="s">
        <v>186</v>
      </c>
      <c r="E10" s="58" t="s">
        <v>187</v>
      </c>
      <c r="F10" s="58" t="s">
        <v>188</v>
      </c>
      <c r="G10" s="58" t="s">
        <v>166</v>
      </c>
      <c r="H10" s="58" t="s">
        <v>189</v>
      </c>
    </row>
    <row r="11" spans="1:8" ht="28.8" x14ac:dyDescent="0.3">
      <c r="A11" s="57">
        <v>7</v>
      </c>
      <c r="B11" s="58" t="s">
        <v>190</v>
      </c>
      <c r="C11" s="59" t="s">
        <v>191</v>
      </c>
      <c r="D11" s="58" t="s">
        <v>192</v>
      </c>
      <c r="E11" s="58" t="s">
        <v>193</v>
      </c>
      <c r="F11" s="58" t="s">
        <v>194</v>
      </c>
      <c r="G11" s="58" t="s">
        <v>195</v>
      </c>
      <c r="H11" s="58" t="s">
        <v>196</v>
      </c>
    </row>
    <row r="14" spans="1:8" ht="15.6" x14ac:dyDescent="0.3">
      <c r="A14" s="7" t="s">
        <v>197</v>
      </c>
      <c r="B14" s="7"/>
      <c r="C14" s="3"/>
    </row>
    <row r="15" spans="1:8" x14ac:dyDescent="0.3">
      <c r="A15" s="21" t="s">
        <v>198</v>
      </c>
      <c r="B15">
        <v>15</v>
      </c>
    </row>
    <row r="16" spans="1:8" x14ac:dyDescent="0.3">
      <c r="A16" s="21" t="s">
        <v>199</v>
      </c>
      <c r="B16">
        <v>4</v>
      </c>
    </row>
    <row r="17" spans="1:2" x14ac:dyDescent="0.3">
      <c r="A17" s="21" t="s">
        <v>200</v>
      </c>
      <c r="B17">
        <f>B15-B16</f>
        <v>11</v>
      </c>
    </row>
    <row r="18" spans="1:2" x14ac:dyDescent="0.3">
      <c r="A18" s="21" t="s">
        <v>201</v>
      </c>
      <c r="B18">
        <v>500</v>
      </c>
    </row>
    <row r="19" spans="1:2" x14ac:dyDescent="0.3">
      <c r="A19" s="21" t="s">
        <v>202</v>
      </c>
      <c r="B19">
        <f>B17*B18</f>
        <v>5500</v>
      </c>
    </row>
    <row r="20" spans="1:2" x14ac:dyDescent="0.3">
      <c r="A20" s="21" t="s">
        <v>203</v>
      </c>
      <c r="B20" s="2">
        <f>B19/60</f>
        <v>91.666666666666671</v>
      </c>
    </row>
    <row r="22" spans="1:2" ht="15.6" x14ac:dyDescent="0.3">
      <c r="A22" s="7" t="s">
        <v>204</v>
      </c>
      <c r="B22" s="7"/>
    </row>
    <row r="23" spans="1:2" x14ac:dyDescent="0.3">
      <c r="A23" t="s">
        <v>205</v>
      </c>
    </row>
    <row r="24" spans="1:2" ht="15.6" x14ac:dyDescent="0.3">
      <c r="A24" s="7" t="s">
        <v>206</v>
      </c>
      <c r="B24" s="7"/>
    </row>
    <row r="25" spans="1:2" ht="57.6" customHeight="1" x14ac:dyDescent="0.3">
      <c r="A25" s="60" t="s">
        <v>207</v>
      </c>
      <c r="B25" s="60"/>
    </row>
  </sheetData>
  <mergeCells count="6">
    <mergeCell ref="A1:H1"/>
    <mergeCell ref="A2:H2"/>
    <mergeCell ref="A14:B14"/>
    <mergeCell ref="A22:B22"/>
    <mergeCell ref="A24:B24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P&amp;L</vt:lpstr>
      <vt:lpstr>Payback</vt:lpstr>
      <vt:lpstr>Scale100x Projection</vt:lpstr>
      <vt:lpstr>Sensitivity</vt:lpstr>
      <vt:lpstr>Franchisee Input</vt:lpstr>
      <vt:lpstr>Automation 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DUTTs _</dc:creator>
  <cp:lastModifiedBy>DUTTs _</cp:lastModifiedBy>
  <dcterms:created xsi:type="dcterms:W3CDTF">2026-08-21T17:11:38Z</dcterms:created>
  <dcterms:modified xsi:type="dcterms:W3CDTF">2026-08-22T19:04:11Z</dcterms:modified>
</cp:coreProperties>
</file>